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444ec2911d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ntesi" sheetId="1" r:id="Raec56a812d264a23"/>
    <x:sheet xmlns:r="http://schemas.openxmlformats.org/officeDocument/2006/relationships" name="Tempi" sheetId="2" r:id="R7cd9699932034181"/>
    <x:sheet xmlns:r="http://schemas.openxmlformats.org/officeDocument/2006/relationships" name="Attivita" sheetId="3" r:id="R7a2397820767482d"/>
    <x:sheet xmlns:r="http://schemas.openxmlformats.org/officeDocument/2006/relationships" name="Milestone" sheetId="4" r:id="R7061699d1c704dc1"/>
    <x:sheet xmlns:r="http://schemas.openxmlformats.org/officeDocument/2006/relationships" name="Test e feedback" sheetId="5" r:id="R5b0d046104dc4478"/>
    <x:sheet xmlns:r="http://schemas.openxmlformats.org/officeDocument/2006/relationships" name="Stato attuale" sheetId="6" r:id="Ra88cf8496fe545cb"/>
    <x:sheet xmlns:r="http://schemas.openxmlformats.org/officeDocument/2006/relationships" name="BIM" sheetId="7" r:id="Rf0a8018e843f4eea"/>
    <x:sheet xmlns:r="http://schemas.openxmlformats.org/officeDocument/2006/relationships" name="Opzioni" sheetId="8" r:id="Rd309e6b781dc41cc"/>
    <x:sheet xmlns:r="http://schemas.openxmlformats.org/officeDocument/2006/relationships" name="Bozza e fonti" sheetId="9" r:id="Rea71f26017eb48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dd/mm/yyyy"/>
    <x:numFmt numFmtId="202" formatCode="0.0"/>
    <x:numFmt numFmtId="203" formatCode="0%"/>
  </x:numFmts>
  <x:fonts count="5">
    <x:font>
      <x:sz val="11"/>
      <x:name val="Carlito"/>
    </x:font>
    <x:font>
      <x:sz val="11"/>
      <x:color rgb="FF243746"/>
      <x:name val="Arial"/>
    </x:font>
    <x:font>
      <x:b/>
      <x:sz val="16"/>
      <x:color rgb="FF203D59"/>
      <x:name val="Arial"/>
    </x:font>
    <x:font>
      <x:b/>
      <x:sz val="11"/>
      <x:color rgb="FFFFFFFF"/>
      <x:name val="Arial"/>
    </x:font>
    <x:font>
      <x:b/>
      <x:sz val="11"/>
      <x:color rgb="FF24374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03D59"/>
      </x:patternFill>
    </x:fill>
    <x:fill>
      <x:patternFill patternType="solid">
        <x:fgColor rgb="FFEEF3F8"/>
      </x:patternFill>
    </x:fill>
    <x:fill>
      <x:patternFill patternType="solid">
        <x:fgColor rgb="FFFFF3D2"/>
      </x:patternFill>
    </x:fill>
    <x:fill>
      <x:patternFill patternType="solid">
        <x:fgColor rgb="FFFFFFFF"/>
      </x:patternFill>
    </x:fill>
  </x:fills>
  <x:borders count="2">
    <x:border/>
    <x:border>
      <x:bottom style="thin">
        <x:color rgb="FF203D59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top" wrapText="1"/>
    </x:xf>
    <x:xf numFmtId="203" fontId="1" fillId="4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/>
    </x:xf>
    <x:xf numFmtId="201" fontId="4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5" borderId="0" xfId="0" applyNumberFormat="1" applyFont="1" applyFill="1" applyBorder="1" applyAlignment="1">
      <x:alignment vertical="top" wrapText="0"/>
    </x:xf>
  </x:cellXfs>
  <x:cellStyles count="1">
    <x:cellStyle name="Normal" xfId="0"/>
  </x:cellStyles>
  <x:dxfs count="6">
    <x:dxf>
      <x:fill>
        <x:patternFill patternType="solid">
          <x:bgColor rgb="FFFFF3D2"/>
        </x:patternFill>
      </x:fill>
    </x:dxf>
    <x:dxf>
      <x:fill>
        <x:patternFill patternType="solid">
          <x:bgColor rgb="FFFCE4DF"/>
        </x:patternFill>
      </x:fill>
    </x:dxf>
    <x:dxf>
      <x:fill>
        <x:patternFill patternType="solid">
          <x:bgColor rgb="FFFFF3D2"/>
        </x:patternFill>
      </x:fill>
    </x:dxf>
    <x:dxf>
      <x:fill>
        <x:patternFill patternType="solid">
          <x:bgColor rgb="FFFCE4DF"/>
        </x:patternFill>
      </x:fill>
    </x:dxf>
    <x:dxf>
      <x:fill>
        <x:patternFill patternType="solid">
          <x:bgColor rgb="FFFFF3D2"/>
        </x:patternFill>
      </x:fill>
    </x:dxf>
    <x:dxf>
      <x:fill>
        <x:patternFill patternType="solid">
          <x:bgColor rgb="FFFC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04ba1c561443e" /><Relationship Type="http://schemas.openxmlformats.org/officeDocument/2006/relationships/theme" Target="/xl/theme/theme1.xml" Id="R2f084f24f666480e" /><Relationship Type="http://schemas.openxmlformats.org/officeDocument/2006/relationships/sharedStrings" Target="/xl/sharedStrings.xml" Id="R0f925fa247ed4930" /><Relationship Type="http://schemas.openxmlformats.org/officeDocument/2006/relationships/worksheet" Target="/xl/worksheets/sheet1.xml" Id="Raec56a812d264a23" /><Relationship Type="http://schemas.openxmlformats.org/officeDocument/2006/relationships/worksheet" Target="/xl/worksheets/sheet2.xml" Id="R7cd9699932034181" /><Relationship Type="http://schemas.openxmlformats.org/officeDocument/2006/relationships/worksheet" Target="/xl/worksheets/sheet3.xml" Id="R7a2397820767482d" /><Relationship Type="http://schemas.openxmlformats.org/officeDocument/2006/relationships/worksheet" Target="/xl/worksheets/sheet4.xml" Id="R7061699d1c704dc1" /><Relationship Type="http://schemas.openxmlformats.org/officeDocument/2006/relationships/worksheet" Target="/xl/worksheets/sheet5.xml" Id="R5b0d046104dc4478" /><Relationship Type="http://schemas.openxmlformats.org/officeDocument/2006/relationships/worksheet" Target="/xl/worksheets/sheet6.xml" Id="Ra88cf8496fe545cb" /><Relationship Type="http://schemas.openxmlformats.org/officeDocument/2006/relationships/worksheet" Target="/xl/worksheets/sheet7.xml" Id="Rf0a8018e843f4eea" /><Relationship Type="http://schemas.openxmlformats.org/officeDocument/2006/relationships/worksheet" Target="/xl/worksheets/sheet8.xml" Id="Rd309e6b781dc41cc" /><Relationship Type="http://schemas.openxmlformats.org/officeDocument/2006/relationships/worksheet" Target="/xl/worksheets/sheet9.xml" Id="Rea71f26017eb48f3" /></Relationships>
</file>

<file path=xl/tables/table1.xml><?xml version="1.0" encoding="utf-8"?>
<x:table xmlns:x="http://schemas.openxmlformats.org/spreadsheetml/2006/main" id="1" name="AttivitaProgramma" displayName="AttivitaProgramma" ref="A5:N53" headerRowCount="1" totalsRowCount="0" totalsRowShown="0">
  <x:autoFilter ref="A5:N53"/>
  <x:tableColumns count="14">
    <x:tableColumn id="1" name="ID"/>
    <x:tableColumn id="2" name="Fase"/>
    <x:tableColumn id="3" name="Area"/>
    <x:tableColumn id="4" name="Consegna"/>
    <x:tableColumn id="5" name="Perimetro"/>
    <x:tableColumn id="6" name="Origine"/>
    <x:tableColumn id="7" name="Priorità"/>
    <x:tableColumn id="8" name="Min gg"/>
    <x:tableColumn id="9" name="Base gg"/>
    <x:tableColumn id="10" name="Max gg"/>
    <x:tableColumn id="11" name="Dipendenze"/>
    <x:tableColumn id="12" name="Criterio di accettazione"/>
    <x:tableColumn id="13" name="Test"/>
    <x:tableColumn id="14" name="Riferiment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PianoTest" displayName="PianoTest" ref="A5:H21" headerRowCount="1" totalsRowCount="0" totalsRowShown="0">
  <x:autoFilter ref="A5:H21"/>
  <x:tableColumns count="8">
    <x:tableColumn id="1" name="ID"/>
    <x:tableColumn id="2" name="Quando"/>
    <x:tableColumn id="3" name="Chi"/>
    <x:tableColumn id="4" name="Tipo"/>
    <x:tableColumn id="5" name="Prova da eseguire"/>
    <x:tableColumn id="6" name="Accettazione"/>
    <x:tableColumn id="7" name="Evidenza"/>
    <x:tableColumn id="8" name="Fasi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Ricognizione" displayName="Ricognizione" ref="A5:H28" headerRowCount="1" totalsRowCount="0" totalsRowShown="0">
  <x:autoFilter ref="A5:H28"/>
  <x:tableColumns count="8">
    <x:tableColumn id="1" name="ID"/>
    <x:tableColumn id="2" name="Area"/>
    <x:tableColumn id="3" name="Funzione"/>
    <x:tableColumn id="4" name="Stato"/>
    <x:tableColumn id="5" name="Disponibile"/>
    <x:tableColumn id="6" name="Limite / seguito"/>
    <x:tableColumn id="7" name="Evidenza"/>
    <x:tableColumn id="8" name="Riman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cciabilitaBozza" displayName="TracciabilitaBozza" ref="A5:E38" headerRowCount="1" totalsRowCount="0" totalsRowShown="0">
  <x:autoFilter ref="A5:E38"/>
  <x:tableColumns count="5">
    <x:tableColumn id="1" name="Foglio originale"/>
    <x:tableColumn id="2" name="Riga"/>
    <x:tableColumn id="3" name="Voce originale"/>
    <x:tableColumn id="4" name="Stato ricognito"/>
    <x:tableColumn id="5" name="Copertura / attivit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b8a5699692c4c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7c4575fe1aba4c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12fed70ddeaf46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.xml" Id="R6f13ed9380bc440e" /></Relationships>
</file>

<file path=xl/worksheets/sheet1.xml><?xml version="1.0" encoding="utf-8"?>
<x:worksheet xmlns:x="http://schemas.openxmlformats.org/spreadsheetml/2006/main">
  <x:sheetPr>
    <x:tabColor rgb="FF203D59"/>
  </x:sheetPr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20" hidden="0" customWidth="1"/>
    <x:col min="4" max="4" width="21" hidden="0" customWidth="1"/>
    <x:col min="5" max="5" width="21" hidden="0" customWidth="1"/>
    <x:col min="6" max="6" width="38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ANTHEA · programma di sviluppo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>
      <x:c r="A4" s="2" t="str">
        <x:v>Ricognizione al 06/10/2026 · proposta di sequenza e tempi residui</x:v>
      </x:c>
      <x:c r="B4" s="2"/>
      <x:c r="C4" s="2"/>
      <x:c r="D4" s="2"/>
      <x:c r="E4" s="2"/>
      <x:c r="F4" s="2"/>
    </x:row>
    <x:row r="5">
      <x:c r="A5" s="2"/>
      <x:c r="B5" s="2"/>
      <x:c r="C5" s="2"/>
      <x:c r="D5" s="2"/>
      <x:c r="E5" s="2"/>
      <x:c r="F5" s="2"/>
    </x:row>
    <x:row r="6" ht="34" customHeight="1">
      <x:c r="A6" s="9" t="str">
        <x:v>Perimetro</x:v>
      </x:c>
      <x:c r="B6" s="9" t="str">
        <x:v>Pieno: settimane</x:v>
      </x:c>
      <x:c r="C6" s="9" t="str">
        <x:v>2 gg: settimane</x:v>
      </x:c>
      <x:c r="D6" s="9" t="str">
        <x:v>Fine pieno</x:v>
      </x:c>
      <x:c r="E6" s="9" t="str">
        <x:v>Fine 2 gg</x:v>
      </x:c>
      <x:c r="F6" s="9" t="str">
        <x:v>Consegna</x:v>
      </x:c>
    </x:row>
    <x:row r="7" ht="50" customHeight="1">
      <x:c r="A7" s="11" t="str">
        <x:v>Primo rilascio esteso</x:v>
      </x:c>
      <x:c r="B7" s="11" t="n">
        <x:f>SUM('Tempi'!G13:G16)</x:f>
        <x:v>21</x:v>
      </x:c>
      <x:c r="C7" s="11" t="n">
        <x:f>SUM('Tempi'!J13:J16)</x:f>
        <x:v>51</x:v>
      </x:c>
      <x:c r="D7" s="17" t="n">
        <x:f>'Tempi'!I16</x:f>
        <x:v>46453</x:v>
      </x:c>
      <x:c r="E7" s="17" t="n">
        <x:f>'Tempi'!L16</x:f>
        <x:v>46663</x:v>
      </x:c>
      <x:c r="F7" s="11" t="str">
        <x:v>M03 · nucleo, CLS e geotecnica</x:v>
      </x:c>
    </x:row>
    <x:row r="8" ht="50" customHeight="1">
      <x:c r="A8" s="10" t="str">
        <x:v>Rilascio funzionale integrato</x:v>
      </x:c>
      <x:c r="B8" s="10" t="n">
        <x:f>SUM('Tempi'!G13:G21)</x:f>
        <x:v>52</x:v>
      </x:c>
      <x:c r="C8" s="10" t="n">
        <x:f>SUM('Tempi'!J13:J21)</x:f>
        <x:v>125</x:v>
      </x:c>
      <x:c r="D8" s="18" t="n">
        <x:f>'Tempi'!I21</x:f>
        <x:v>46670</x:v>
      </x:c>
      <x:c r="E8" s="18" t="n">
        <x:f>'Tempi'!L21</x:f>
        <x:v>47181</x:v>
      </x:c>
      <x:c r="F8" s="10" t="str">
        <x:v>M08 · azioni, acciaio, misto e CAP</x:v>
      </x:c>
    </x:row>
    <x:row r="9" ht="50" customHeight="1">
      <x:c r="A9" s="11" t="str">
        <x:v>Programma con entrambi i BIM</x:v>
      </x:c>
      <x:c r="B9" s="11" t="n">
        <x:f>SUM('Tempi'!G13:G25)</x:f>
        <x:v>72</x:v>
      </x:c>
      <x:c r="C9" s="11" t="n">
        <x:f>SUM('Tempi'!J13:J25)</x:f>
        <x:v>171</x:v>
      </x:c>
      <x:c r="D9" s="17" t="n">
        <x:f>'Tempi'!I25</x:f>
        <x:v>46810</x:v>
      </x:c>
      <x:c r="E9" s="17" t="n">
        <x:f>'Tempi'!L25</x:f>
        <x:v>47503</x:v>
      </x:c>
      <x:c r="F9" s="11" t="str">
        <x:v>MB4 · openBIM, Revit e Tekla</x:v>
      </x:c>
    </x:row>
    <x:row r="10">
      <x:c r="A10" s="2"/>
      <x:c r="B10" s="2"/>
      <x:c r="C10" s="2"/>
      <x:c r="D10" s="2"/>
      <x:c r="E10" s="2"/>
      <x:c r="F10" s="2"/>
    </x:row>
    <x:row r="11">
      <x:c r="A11" s="2"/>
      <x:c r="B11" s="2"/>
      <x:c r="C11" s="2"/>
      <x:c r="D11" s="2"/>
      <x:c r="E11" s="2"/>
      <x:c r="F11" s="2"/>
    </x:row>
    <x:row r="12" ht="34" customHeight="1">
      <x:c r="A12" s="9" t="str">
        <x:v>Stima complessiva</x:v>
      </x:c>
      <x:c r="B12" s="9" t="str">
        <x:v>Min</x:v>
      </x:c>
      <x:c r="C12" s="9" t="str">
        <x:v>Base</x:v>
      </x:c>
      <x:c r="D12" s="9" t="str">
        <x:v>Max</x:v>
      </x:c>
      <x:c r="E12" s="2"/>
      <x:c r="F12" s="2"/>
    </x:row>
    <x:row r="13" ht="30" customHeight="1">
      <x:c r="A13" s="11" t="str">
        <x:v>Giornate prima del margine</x:v>
      </x:c>
      <x:c r="B13" s="11" t="n">
        <x:f>'Tempi'!C26</x:f>
        <x:v>185</x:v>
      </x:c>
      <x:c r="C13" s="11" t="n">
        <x:f>'Tempi'!D26</x:f>
        <x:v>275</x:v>
      </x:c>
      <x:c r="D13" s="11" t="n">
        <x:f>'Tempi'!E26</x:f>
        <x:v>427</x:v>
      </x:c>
      <x:c r="E13" s="2"/>
      <x:c r="F13" s="2"/>
    </x:row>
    <x:row r="14" ht="30" customHeight="1">
      <x:c r="A14" s="10" t="str">
        <x:v>Settimane a tempo pieno</x:v>
      </x:c>
      <x:c r="B14" s="10" t="n">
        <x:f>'Tempi'!M26</x:f>
        <x:v>50</x:v>
      </x:c>
      <x:c r="C14" s="10" t="n">
        <x:f>'Tempi'!G26</x:f>
        <x:v>72</x:v>
      </x:c>
      <x:c r="D14" s="10" t="n">
        <x:f>'Tempi'!N26</x:f>
        <x:v>110</x:v>
      </x:c>
      <x:c r="E14" s="2"/>
      <x:c r="F14" s="2"/>
    </x:row>
    <x:row r="15" ht="30" customHeight="1">
      <x:c r="A15" s="11" t="str">
        <x:v>Settimane a 2 gg/settimana</x:v>
      </x:c>
      <x:c r="B15" s="11" t="n">
        <x:f>'Tempi'!O26</x:f>
        <x:v>116</x:v>
      </x:c>
      <x:c r="C15" s="11" t="n">
        <x:f>'Tempi'!J26</x:f>
        <x:v>171</x:v>
      </x:c>
      <x:c r="D15" s="11" t="n">
        <x:f>'Tempi'!P26</x:f>
        <x:v>261</x:v>
      </x:c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 ht="34" customHeight="1">
      <x:c r="A18" s="9" t="str">
        <x:v>Decisione</x:v>
      </x:c>
      <x:c r="B18" s="9" t="str">
        <x:v>Indicazione</x:v>
      </x:c>
      <x:c r="C18" s="2"/>
      <x:c r="D18" s="2"/>
      <x:c r="E18" s="2"/>
      <x:c r="F18" s="2"/>
    </x:row>
    <x:row r="19" ht="28" customHeight="1">
      <x:c r="A19" s="11" t="str">
        <x:v>Primo obiettivo</x:v>
      </x:c>
      <x:c r="B19" s="28" t="str">
        <x:v>M00 prima di ampliare il perimetro: usare il primo ciclo per calibrare le stime.</x:v>
      </x:c>
      <x:c r="C19" s="28"/>
      <x:c r="D19" s="28"/>
      <x:c r="E19" s="28"/>
      <x:c r="F19" s="28"/>
    </x:row>
    <x:row r="20" ht="28" customHeight="1">
      <x:c r="A20" s="10" t="str">
        <x:v>Priorità</x:v>
      </x:c>
      <x:c r="B20" s="28" t="str">
        <x:v>M03 = primo rilascio esteso; M08 = funzionale integrato; MB4 = BIM Revit + Tekla.</x:v>
      </x:c>
      <x:c r="C20" s="28"/>
      <x:c r="D20" s="28"/>
      <x:c r="E20" s="28"/>
      <x:c r="F20" s="28"/>
    </x:row>
    <x:row r="21" ht="28" customHeight="1">
      <x:c r="A21" s="11" t="str">
        <x:v>Già disponibile</x:v>
      </x:c>
      <x:c r="B21" s="28" t="str">
        <x:v>23 voci ricognite; le funzioni presenti non vengono stimate da ricostruire.</x:v>
      </x:c>
      <x:c r="C21" s="28"/>
      <x:c r="D21" s="28"/>
      <x:c r="E21" s="28"/>
      <x:c r="F21" s="28"/>
    </x:row>
    <x:row r="22" ht="28" customHeight="1">
      <x:c r="A22" s="10" t="str">
        <x:v>Non incluso</x:v>
      </x:c>
      <x:c r="B22" s="28" t="str">
        <x:v>Opzioni escluse: non lineare CA, pali p-y, FEM generale e BIM/CDE avanzato.</x:v>
      </x:c>
      <x:c r="C22" s="28"/>
      <x:c r="D22" s="28"/>
      <x:c r="E22" s="28"/>
      <x:c r="F22" s="28"/>
    </x:row>
    <x:row r="23" ht="28" customHeight="1">
      <x:c r="A23" s="11" t="str">
        <x:v>Ritmo di feedback</x:v>
      </x:c>
      <x:c r="B23" s="28" t="str">
        <x:v>Demo ogni 10 giornate di lavoro e accettazione tecnica a ogni milestone.</x:v>
      </x:c>
      <x:c r="C23" s="28"/>
      <x:c r="D23" s="28"/>
      <x:c r="E23" s="28"/>
      <x:c r="F23" s="28"/>
    </x:row>
    <x:row r="24" ht="28" customHeight="1">
      <x:c r="A24" s="10" t="str">
        <x:v>Interpretazione dei tempi</x:v>
      </x:c>
      <x:c r="B24" s="28" t="str">
        <x:v>L’AI è già inclusa nelle stime; il programma non assume un fattore di velocità misurato.</x:v>
      </x:c>
      <x:c r="C24" s="28"/>
      <x:c r="D24" s="28"/>
      <x:c r="E24" s="28"/>
      <x:c r="F24" s="28"/>
    </x:row>
    <x:row r="25">
      <x:c r="A25" s="2"/>
      <x:c r="B25" s="2"/>
      <x:c r="C25" s="2"/>
      <x:c r="D25" s="2"/>
      <x:c r="E25" s="2"/>
      <x:c r="F25" s="2"/>
    </x:row>
    <x:row r="26">
      <x:c r="A26" s="2"/>
      <x:c r="B26" s="2"/>
      <x:c r="C26" s="2"/>
      <x:c r="D26" s="2"/>
      <x:c r="E26" s="2"/>
      <x:c r="F26" s="2"/>
    </x:row>
    <x:row r="27">
      <x:c r="A27" s="24" t="str">
        <x:v>Ipotesi di piano</x:v>
      </x:c>
      <x:c r="B27" s="2"/>
      <x:c r="C27" s="2"/>
      <x:c r="D27" s="2"/>
      <x:c r="E27" s="2"/>
      <x:c r="F27" s="2"/>
    </x:row>
    <x:row r="28">
      <x:c r="A28" s="2"/>
      <x:c r="B28" s="2"/>
      <x:c r="C28" s="2"/>
      <x:c r="D28" s="2"/>
      <x:c r="E28" s="2"/>
      <x:c r="F28" s="2"/>
    </x:row>
    <x:row r="29" ht="52" customHeight="1">
      <x:c r="A29" s="2" t="str">
        <x:v>1.</x:v>
      </x:c>
      <x:c r="B29" s="10" t="str">
        <x:v>Una sola persona sviluppa con AI in entrambi gli scenari. Tempo pieno = 5 giornate/settimana; parziale = 2. Nessun parallelismo fra fasi nella baseline.</x:v>
      </x:c>
      <x:c r="C29" s="10"/>
      <x:c r="D29" s="10"/>
      <x:c r="E29" s="10"/>
      <x:c r="F29" s="10"/>
    </x:row>
    <x:row r="30" ht="52" customHeight="1">
      <x:c r="A30" s="2" t="str">
        <x:v>2.</x:v>
      </x:c>
      <x:c r="B30" s="10" t="str">
        <x:v>Le giornate sono impegno residuo stimato: includono analisi, codice assistito da AI, test di modulo, correzioni ordinarie, documenti e preparazione demo. Le funzioni già presenti non sono conteggiate da ricostruire.</x:v>
      </x:c>
      <x:c r="C30" s="10"/>
      <x:c r="D30" s="10"/>
      <x:c r="E30" s="10"/>
      <x:c r="F30" s="10"/>
    </x:row>
    <x:row r="31" ht="52" customHeight="1">
      <x:c r="A31" s="2" t="str">
        <x:v>3.</x:v>
      </x:c>
      <x:c r="B31" s="10" t="str">
        <x:v>Minimo/base/massimo sono stime per attività. Il margine del 20% copre imprevisti e integrazione trasversale, oltre alle attività previste. Non è una probabilità statistica.</x:v>
      </x:c>
      <x:c r="C31" s="10"/>
      <x:c r="D31" s="10"/>
      <x:c r="E31" s="10"/>
      <x:c r="F31" s="10"/>
    </x:row>
    <x:row r="32" ht="52" customHeight="1">
      <x:c r="A32" s="2" t="str">
        <x:v>4.</x:v>
      </x:c>
      <x:c r="B32" s="10" t="str">
        <x:v>Calendario ipotetico da lunedì 12/10/2026, modificabile. Settimane arrotondate per fase. Ferie, festività e sospensioni non sono modellate. Date di lungo periodo sono orientative.</x:v>
      </x:c>
      <x:c r="C32" s="10"/>
      <x:c r="D32" s="10"/>
      <x:c r="E32" s="10"/>
      <x:c r="F32" s="10"/>
    </x:row>
    <x:row r="33" ht="52" customHeight="1">
      <x:c r="A33" s="2" t="str">
        <x:v>5.</x:v>
      </x:c>
      <x:c r="B33" s="10" t="str">
        <x:v>Il referente tecnico, esterno alla capacità di sviluppo, prepara i casi e restituisce feedback entro due giorni lavorativi. Attese ulteriori spostano le milestone; l’AI non sostituisce l’accettazione tecnica.</x:v>
      </x:c>
      <x:c r="C33" s="10"/>
      <x:c r="D33" s="10"/>
      <x:c r="E33" s="10"/>
      <x:c r="F33" s="10"/>
    </x:row>
    <x:row r="34" ht="52" customHeight="1">
      <x:c r="A34" s="2" t="str">
        <x:v>6.</x:v>
      </x:c>
      <x:c r="B34" s="10" t="str">
        <x:v>Le stime BIM includono entrambi i connettori, una versione per software e una famiglia iniziale di elementi/armature. Versioni, modelli pilota e licenze sono da concordare a MB1.</x:v>
      </x:c>
      <x:c r="C34" s="10"/>
      <x:c r="D34" s="10"/>
      <x:c r="E34" s="10"/>
      <x:c r="F34" s="10"/>
    </x:row>
    <x:row r="35" ht="52" customHeight="1">
      <x:c r="A35" s="2" t="str">
        <x:v>7.</x:v>
      </x:c>
      <x:c r="B35" s="10" t="str">
        <x:v>P0 = prerequisite/affidabilità; P1 = obiettivo del programma; P2 = ampliamento da confermare alla milestone precedente. Le opzioni O01–O05 sono escluse dai totali e dal calendario.</x:v>
      </x:c>
      <x:c r="C35" s="10"/>
      <x:c r="D35" s="10"/>
      <x:c r="E35" s="10"/>
      <x:c r="F35" s="10"/>
    </x:row>
    <x:row r="36" ht="52" customHeight="1">
      <x:c r="A36" s="2" t="str">
        <x:v>8.</x:v>
      </x:c>
      <x:c r="B36" s="10" t="str">
        <x:v>Stato ricostruito da sorgenti e guide Rev30 al 06/10/2026. Presente significa funzione implementata/documentata nel suo campo, non nuova attestazione di validazione. La validazione esistente è assunta attendibile secondo l’indicazione dell’utente.</x:v>
      </x:c>
      <x:c r="C36" s="10"/>
      <x:c r="D36" s="10"/>
      <x:c r="E36" s="10"/>
      <x:c r="F36" s="10"/>
    </x:row>
    <x:row r="37">
      <x:c r="A37" s="2"/>
      <x:c r="B37" s="2"/>
      <x:c r="C37" s="2"/>
      <x:c r="D37" s="2"/>
      <x:c r="E37" s="2"/>
      <x:c r="F37" s="2"/>
    </x:row>
    <x:row r="38">
      <x:c r="A38" s="2"/>
      <x:c r="B38" s="2"/>
      <x:c r="C38" s="2"/>
      <x:c r="D38" s="2"/>
      <x:c r="E38" s="2"/>
      <x:c r="F38" s="2"/>
    </x:row>
    <x:row r="39">
      <x:c r="A39" s="2"/>
      <x:c r="B39" s="2"/>
      <x:c r="C39" s="2"/>
      <x:c r="D39" s="2"/>
      <x:c r="E39" s="2"/>
      <x:c r="F39" s="2"/>
    </x:row>
    <x:row r="40">
      <x:c r="A40" s="2"/>
      <x:c r="B40" s="2"/>
      <x:c r="C40" s="2"/>
      <x:c r="D40" s="2"/>
      <x:c r="E40" s="2"/>
      <x:c r="F40" s="2"/>
    </x:row>
    <x:row r="41">
      <x:c r="A41" s="2"/>
      <x:c r="B41" s="2"/>
      <x:c r="C41" s="2"/>
      <x:c r="D41" s="2"/>
      <x:c r="E41" s="2"/>
      <x:c r="F41" s="2"/>
    </x:row>
  </x:sheetData>
  <x:mergeCells>
    <x:mergeCell ref="B29:F29"/>
    <x:mergeCell ref="B30:F30"/>
    <x:mergeCell ref="B31:F31"/>
    <x:mergeCell ref="B32:F32"/>
    <x:mergeCell ref="B33:F33"/>
    <x:mergeCell ref="B34:F34"/>
    <x:mergeCell ref="B35:F35"/>
    <x:mergeCell ref="B36:F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03D59"/>
  </x:sheetPr>
  <x:sheetViews>
    <x:sheetView showGridLines="0" workbookViewId="0">
      <x:pane xSplit="2" ySplit="12" topLeftCell="C13" activePane="bottomRight" state="frozen"/>
    </x:sheetView>
  </x:sheetViews>
  <x:sheetFormatPr defaultRowHeight="15"/>
  <x:cols>
    <x:col min="1" max="1" width="24" hidden="0" customWidth="1"/>
    <x:col min="2" max="2" width="35" hidden="0" customWidth="1"/>
    <x:col min="3" max="3" width="10" hidden="0" customWidth="1"/>
    <x:col min="4" max="4" width="10" hidden="0" customWidth="1"/>
    <x:col min="5" max="5" width="10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30" customHeight="1">
      <x:c r="A2" s="3" t="str">
        <x:v>Due scenari · una persona con AI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</x:row>
    <x:row r="5" ht="34" customHeight="1">
      <x:c r="A5" s="9" t="str">
        <x:v>Parametro</x:v>
      </x:c>
      <x:c r="B5" s="9" t="str">
        <x:v>Valore</x:v>
      </x:c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</x:row>
    <x:row r="6" ht="24" customHeight="1">
      <x:c r="A6" s="11" t="str">
        <x:v>Avvio ipotetico</x:v>
      </x:c>
      <x:c r="B6" s="14" t="n">
        <x:v>46307</x:v>
      </x:c>
      <x:c r="C6" s="2"/>
      <x:c r="D6" s="2" t="str">
        <x:v>Date indicative. Fasi sequenziali, nessun parallelismo con una sola persona.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</x:row>
    <x:row r="7" ht="24" customHeight="1">
      <x:c r="A7" s="10" t="str">
        <x:v>Gg/settimana pieno</x:v>
      </x:c>
      <x:c r="B7" s="15" t="n">
        <x:v>5</x:v>
      </x:c>
      <x:c r="C7" s="2"/>
      <x:c r="D7" s="2" t="str">
        <x:v>Settimane arrotondate per fase. Ferie, festività e attese extra non incluse.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</x:row>
    <x:row r="8" ht="24" customHeight="1">
      <x:c r="A8" s="11" t="str">
        <x:v>Gg/settimana parziale</x:v>
      </x:c>
      <x:c r="B8" s="15" t="n">
        <x:v>2</x:v>
      </x:c>
      <x:c r="C8" s="2"/>
      <x:c r="D8" s="2" t="str">
        <x:v>Intervalli minimo/massimo = stime, non probabilità. Ricalibrare dopo M00.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</x:row>
    <x:row r="9" ht="24" customHeight="1">
      <x:c r="A9" s="10" t="str">
        <x:v>Margine imprevisti</x:v>
      </x:c>
      <x:c r="B9" s="16" t="n">
        <x:v>0.2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</x:row>
    <x:row r="12" ht="34" customHeight="1">
      <x:c r="A12" s="9" t="str">
        <x:v>Fase</x:v>
      </x:c>
      <x:c r="B12" s="9" t="str">
        <x:v>Consegna</x:v>
      </x:c>
      <x:c r="C12" s="9" t="str">
        <x:v>Min gg</x:v>
      </x:c>
      <x:c r="D12" s="9" t="str">
        <x:v>Base gg</x:v>
      </x:c>
      <x:c r="E12" s="9" t="str">
        <x:v>Max gg</x:v>
      </x:c>
      <x:c r="F12" s="9" t="str">
        <x:v>Base + margine</x:v>
      </x:c>
      <x:c r="G12" s="9" t="str">
        <x:v>Sett. pieno</x:v>
      </x:c>
      <x:c r="H12" s="9" t="str">
        <x:v>Inizio pieno</x:v>
      </x:c>
      <x:c r="I12" s="9" t="str">
        <x:v>Fine pieno</x:v>
      </x:c>
      <x:c r="J12" s="9" t="str">
        <x:v>Sett. 2 gg</x:v>
      </x:c>
      <x:c r="K12" s="9" t="str">
        <x:v>Inizio 2 gg</x:v>
      </x:c>
      <x:c r="L12" s="9" t="str">
        <x:v>Fine 2 gg</x:v>
      </x:c>
      <x:c r="M12" s="9" t="str">
        <x:v>Min sett. pieno</x:v>
      </x:c>
      <x:c r="N12" s="9" t="str">
        <x:v>Max sett. pieno</x:v>
      </x:c>
      <x:c r="O12" s="9" t="str">
        <x:v>Min sett. 2 gg</x:v>
      </x:c>
      <x:c r="P12" s="9" t="str">
        <x:v>Max sett. 2 gg</x:v>
      </x:c>
    </x:row>
    <x:row r="13" ht="42" customHeight="1">
      <x:c r="A13" s="11" t="str">
        <x:v>P00</x:v>
      </x:c>
      <x:c r="B13" s="11" t="str">
        <x:v>Consolidamento e baseline</x:v>
      </x:c>
      <x:c r="C13" s="19" t="n">
        <x:f>SUMIFS('Attivita'!$H$6:$H$53,'Attivita'!$B$6:$B$53,A13)</x:f>
        <x:v>8</x:v>
      </x:c>
      <x:c r="D13" s="19" t="n">
        <x:f>SUMIFS('Attivita'!$I$6:$I$53,'Attivita'!$B$6:$B$53,A13)</x:f>
        <x:v>12</x:v>
      </x:c>
      <x:c r="E13" s="19" t="n">
        <x:f>SUMIFS('Attivita'!$J$6:$J$53,'Attivita'!$B$6:$B$53,A13)</x:f>
        <x:v>18</x:v>
      </x:c>
      <x:c r="F13" s="19" t="n">
        <x:f>D13*(1+$B$9)</x:f>
        <x:v>14.399999999999999</x:v>
      </x:c>
      <x:c r="G13" s="19" t="n">
        <x:f>ROUNDUP(F13/$B$7,0)</x:f>
        <x:v>3</x:v>
      </x:c>
      <x:c r="H13" s="17" t="n">
        <x:f>$B$6</x:f>
        <x:v>46307</x:v>
      </x:c>
      <x:c r="I13" s="17" t="n">
        <x:f>H13+7*G13-1</x:f>
        <x:v>46327</x:v>
      </x:c>
      <x:c r="J13" s="21" t="n">
        <x:f>ROUNDUP(F13/$B$8,0)</x:f>
        <x:v>8</x:v>
      </x:c>
      <x:c r="K13" s="17" t="n">
        <x:f>$B$6</x:f>
        <x:v>46307</x:v>
      </x:c>
      <x:c r="L13" s="17" t="n">
        <x:f>K13+7*J13-1</x:f>
        <x:v>46362</x:v>
      </x:c>
      <x:c r="M13" s="21" t="n">
        <x:f>ROUNDUP(C13*(1+$B$9)/$B$7,0)</x:f>
        <x:v>2</x:v>
      </x:c>
      <x:c r="N13" s="21" t="n">
        <x:f>ROUNDUP(E13*(1+$B$9)/$B$7,0)</x:f>
        <x:v>5</x:v>
      </x:c>
      <x:c r="O13" s="21" t="n">
        <x:f>ROUNDUP(C13*(1+$B$9)/$B$8,0)</x:f>
        <x:v>5</x:v>
      </x:c>
      <x:c r="P13" s="21" t="n">
        <x:f>ROUNDUP(E13*(1+$B$9)/$B$8,0)</x:f>
        <x:v>11</x:v>
      </x:c>
    </x:row>
    <x:row r="14" ht="42" customHeight="1">
      <x:c r="A14" s="10" t="str">
        <x:v>P01</x:v>
      </x:c>
      <x:c r="B14" s="10" t="str">
        <x:v>Nucleo comune e interoperabilità</x:v>
      </x:c>
      <x:c r="C14" s="20" t="n">
        <x:f>SUMIFS('Attivita'!$H$6:$H$53,'Attivita'!$B$6:$B$53,A14)</x:f>
        <x:v>12</x:v>
      </x:c>
      <x:c r="D14" s="20" t="n">
        <x:f>SUMIFS('Attivita'!$I$6:$I$53,'Attivita'!$B$6:$B$53,A14)</x:f>
        <x:v>17</x:v>
      </x:c>
      <x:c r="E14" s="20" t="n">
        <x:f>SUMIFS('Attivita'!$J$6:$J$53,'Attivita'!$B$6:$B$53,A14)</x:f>
        <x:v>26</x:v>
      </x:c>
      <x:c r="F14" s="20" t="n">
        <x:f>D14*(1+$B$9)</x:f>
        <x:v>20.4</x:v>
      </x:c>
      <x:c r="G14" s="20" t="n">
        <x:f>ROUNDUP(F14/$B$7,0)</x:f>
        <x:v>5</x:v>
      </x:c>
      <x:c r="H14" s="18" t="n">
        <x:f>I13+1</x:f>
        <x:v>46328</x:v>
      </x:c>
      <x:c r="I14" s="18" t="n">
        <x:f>H14+7*G14-1</x:f>
        <x:v>46362</x:v>
      </x:c>
      <x:c r="J14" s="22" t="n">
        <x:f>ROUNDUP(F14/$B$8,0)</x:f>
        <x:v>11</x:v>
      </x:c>
      <x:c r="K14" s="18" t="n">
        <x:f>L13+1</x:f>
        <x:v>46363</x:v>
      </x:c>
      <x:c r="L14" s="18" t="n">
        <x:f>K14+7*J14-1</x:f>
        <x:v>46439</x:v>
      </x:c>
      <x:c r="M14" s="22" t="n">
        <x:f>ROUNDUP(C14*(1+$B$9)/$B$7,0)</x:f>
        <x:v>3</x:v>
      </x:c>
      <x:c r="N14" s="22" t="n">
        <x:f>ROUNDUP(E14*(1+$B$9)/$B$7,0)</x:f>
        <x:v>7</x:v>
      </x:c>
      <x:c r="O14" s="22" t="n">
        <x:f>ROUNDUP(C14*(1+$B$9)/$B$8,0)</x:f>
        <x:v>8</x:v>
      </x:c>
      <x:c r="P14" s="22" t="n">
        <x:f>ROUNDUP(E14*(1+$B$9)/$B$8,0)</x:f>
        <x:v>16</x:v>
      </x:c>
    </x:row>
    <x:row r="15" ht="42" customHeight="1">
      <x:c r="A15" s="11" t="str">
        <x:v>P02</x:v>
      </x:c>
      <x:c r="B15" s="11" t="str">
        <x:v>Completamento calcestruzzo</x:v>
      </x:c>
      <x:c r="C15" s="19" t="n">
        <x:f>SUMIFS('Attivita'!$H$6:$H$53,'Attivita'!$B$6:$B$53,A15)</x:f>
        <x:v>20</x:v>
      </x:c>
      <x:c r="D15" s="19" t="n">
        <x:f>SUMIFS('Attivita'!$I$6:$I$53,'Attivita'!$B$6:$B$53,A15)</x:f>
        <x:v>28</x:v>
      </x:c>
      <x:c r="E15" s="19" t="n">
        <x:f>SUMIFS('Attivita'!$J$6:$J$53,'Attivita'!$B$6:$B$53,A15)</x:f>
        <x:v>44</x:v>
      </x:c>
      <x:c r="F15" s="19" t="n">
        <x:f>D15*(1+$B$9)</x:f>
        <x:v>33.6</x:v>
      </x:c>
      <x:c r="G15" s="19" t="n">
        <x:f>ROUNDUP(F15/$B$7,0)</x:f>
        <x:v>7</x:v>
      </x:c>
      <x:c r="H15" s="17" t="n">
        <x:f>I14+1</x:f>
        <x:v>46363</x:v>
      </x:c>
      <x:c r="I15" s="17" t="n">
        <x:f>H15+7*G15-1</x:f>
        <x:v>46411</x:v>
      </x:c>
      <x:c r="J15" s="21" t="n">
        <x:f>ROUNDUP(F15/$B$8,0)</x:f>
        <x:v>17</x:v>
      </x:c>
      <x:c r="K15" s="17" t="n">
        <x:f>L14+1</x:f>
        <x:v>46440</x:v>
      </x:c>
      <x:c r="L15" s="17" t="n">
        <x:f>K15+7*J15-1</x:f>
        <x:v>46558</x:v>
      </x:c>
      <x:c r="M15" s="21" t="n">
        <x:f>ROUNDUP(C15*(1+$B$9)/$B$7,0)</x:f>
        <x:v>5</x:v>
      </x:c>
      <x:c r="N15" s="21" t="n">
        <x:f>ROUNDUP(E15*(1+$B$9)/$B$7,0)</x:f>
        <x:v>11</x:v>
      </x:c>
      <x:c r="O15" s="21" t="n">
        <x:f>ROUNDUP(C15*(1+$B$9)/$B$8,0)</x:f>
        <x:v>12</x:v>
      </x:c>
      <x:c r="P15" s="21" t="n">
        <x:f>ROUNDUP(E15*(1+$B$9)/$B$8,0)</x:f>
        <x:v>27</x:v>
      </x:c>
    </x:row>
    <x:row r="16" ht="42" customHeight="1">
      <x:c r="A16" s="10" t="str">
        <x:v>P03</x:v>
      </x:c>
      <x:c r="B16" s="10" t="str">
        <x:v>Completamento geotecnica</x:v>
      </x:c>
      <x:c r="C16" s="20" t="n">
        <x:f>SUMIFS('Attivita'!$H$6:$H$53,'Attivita'!$B$6:$B$53,A16)</x:f>
        <x:v>16</x:v>
      </x:c>
      <x:c r="D16" s="20" t="n">
        <x:f>SUMIFS('Attivita'!$I$6:$I$53,'Attivita'!$B$6:$B$53,A16)</x:f>
        <x:v>25</x:v>
      </x:c>
      <x:c r="E16" s="20" t="n">
        <x:f>SUMIFS('Attivita'!$J$6:$J$53,'Attivita'!$B$6:$B$53,A16)</x:f>
        <x:v>39</x:v>
      </x:c>
      <x:c r="F16" s="20" t="n">
        <x:f>D16*(1+$B$9)</x:f>
        <x:v>30</x:v>
      </x:c>
      <x:c r="G16" s="20" t="n">
        <x:f>ROUNDUP(F16/$B$7,0)</x:f>
        <x:v>6</x:v>
      </x:c>
      <x:c r="H16" s="18" t="n">
        <x:f>I15+1</x:f>
        <x:v>46412</x:v>
      </x:c>
      <x:c r="I16" s="18" t="n">
        <x:f>H16+7*G16-1</x:f>
        <x:v>46453</x:v>
      </x:c>
      <x:c r="J16" s="22" t="n">
        <x:f>ROUNDUP(F16/$B$8,0)</x:f>
        <x:v>15</x:v>
      </x:c>
      <x:c r="K16" s="18" t="n">
        <x:f>L15+1</x:f>
        <x:v>46559</x:v>
      </x:c>
      <x:c r="L16" s="18" t="n">
        <x:f>K16+7*J16-1</x:f>
        <x:v>46663</x:v>
      </x:c>
      <x:c r="M16" s="22" t="n">
        <x:f>ROUNDUP(C16*(1+$B$9)/$B$7,0)</x:f>
        <x:v>4</x:v>
      </x:c>
      <x:c r="N16" s="22" t="n">
        <x:f>ROUNDUP(E16*(1+$B$9)/$B$7,0)</x:f>
        <x:v>10</x:v>
      </x:c>
      <x:c r="O16" s="22" t="n">
        <x:f>ROUNDUP(C16*(1+$B$9)/$B$8,0)</x:f>
        <x:v>10</x:v>
      </x:c>
      <x:c r="P16" s="22" t="n">
        <x:f>ROUNDUP(E16*(1+$B$9)/$B$8,0)</x:f>
        <x:v>24</x:v>
      </x:c>
    </x:row>
    <x:row r="17" ht="42" customHeight="1">
      <x:c r="A17" s="11" t="str">
        <x:v>P04</x:v>
      </x:c>
      <x:c r="B17" s="11" t="str">
        <x:v>Azioni e combinazioni</x:v>
      </x:c>
      <x:c r="C17" s="19" t="n">
        <x:f>SUMIFS('Attivita'!$H$6:$H$53,'Attivita'!$B$6:$B$53,A17)</x:f>
        <x:v>15</x:v>
      </x:c>
      <x:c r="D17" s="19" t="n">
        <x:f>SUMIFS('Attivita'!$I$6:$I$53,'Attivita'!$B$6:$B$53,A17)</x:f>
        <x:v>22</x:v>
      </x:c>
      <x:c r="E17" s="19" t="n">
        <x:f>SUMIFS('Attivita'!$J$6:$J$53,'Attivita'!$B$6:$B$53,A17)</x:f>
        <x:v>33</x:v>
      </x:c>
      <x:c r="F17" s="19" t="n">
        <x:f>D17*(1+$B$9)</x:f>
        <x:v>26.4</x:v>
      </x:c>
      <x:c r="G17" s="19" t="n">
        <x:f>ROUNDUP(F17/$B$7,0)</x:f>
        <x:v>6</x:v>
      </x:c>
      <x:c r="H17" s="17" t="n">
        <x:f>I16+1</x:f>
        <x:v>46454</x:v>
      </x:c>
      <x:c r="I17" s="17" t="n">
        <x:f>H17+7*G17-1</x:f>
        <x:v>46495</x:v>
      </x:c>
      <x:c r="J17" s="21" t="n">
        <x:f>ROUNDUP(F17/$B$8,0)</x:f>
        <x:v>14</x:v>
      </x:c>
      <x:c r="K17" s="17" t="n">
        <x:f>L16+1</x:f>
        <x:v>46664</x:v>
      </x:c>
      <x:c r="L17" s="17" t="n">
        <x:f>K17+7*J17-1</x:f>
        <x:v>46761</x:v>
      </x:c>
      <x:c r="M17" s="21" t="n">
        <x:f>ROUNDUP(C17*(1+$B$9)/$B$7,0)</x:f>
        <x:v>4</x:v>
      </x:c>
      <x:c r="N17" s="21" t="n">
        <x:f>ROUNDUP(E17*(1+$B$9)/$B$7,0)</x:f>
        <x:v>8</x:v>
      </x:c>
      <x:c r="O17" s="21" t="n">
        <x:f>ROUNDUP(C17*(1+$B$9)/$B$8,0)</x:f>
        <x:v>9</x:v>
      </x:c>
      <x:c r="P17" s="21" t="n">
        <x:f>ROUNDUP(E17*(1+$B$9)/$B$8,0)</x:f>
        <x:v>20</x:v>
      </x:c>
    </x:row>
    <x:row r="18" ht="42" customHeight="1">
      <x:c r="A18" s="10" t="str">
        <x:v>P05</x:v>
      </x:c>
      <x:c r="B18" s="10" t="str">
        <x:v>Acciaio e connessioni</x:v>
      </x:c>
      <x:c r="C18" s="20" t="n">
        <x:f>SUMIFS('Attivita'!$H$6:$H$53,'Attivita'!$B$6:$B$53,A18)</x:f>
        <x:v>20</x:v>
      </x:c>
      <x:c r="D18" s="20" t="n">
        <x:f>SUMIFS('Attivita'!$I$6:$I$53,'Attivita'!$B$6:$B$53,A18)</x:f>
        <x:v>28</x:v>
      </x:c>
      <x:c r="E18" s="20" t="n">
        <x:f>SUMIFS('Attivita'!$J$6:$J$53,'Attivita'!$B$6:$B$53,A18)</x:f>
        <x:v>43</x:v>
      </x:c>
      <x:c r="F18" s="20" t="n">
        <x:f>D18*(1+$B$9)</x:f>
        <x:v>33.6</x:v>
      </x:c>
      <x:c r="G18" s="20" t="n">
        <x:f>ROUNDUP(F18/$B$7,0)</x:f>
        <x:v>7</x:v>
      </x:c>
      <x:c r="H18" s="18" t="n">
        <x:f>I17+1</x:f>
        <x:v>46496</x:v>
      </x:c>
      <x:c r="I18" s="18" t="n">
        <x:f>H18+7*G18-1</x:f>
        <x:v>46544</x:v>
      </x:c>
      <x:c r="J18" s="22" t="n">
        <x:f>ROUNDUP(F18/$B$8,0)</x:f>
        <x:v>17</x:v>
      </x:c>
      <x:c r="K18" s="18" t="n">
        <x:f>L17+1</x:f>
        <x:v>46762</x:v>
      </x:c>
      <x:c r="L18" s="18" t="n">
        <x:f>K18+7*J18-1</x:f>
        <x:v>46880</x:v>
      </x:c>
      <x:c r="M18" s="22" t="n">
        <x:f>ROUNDUP(C18*(1+$B$9)/$B$7,0)</x:f>
        <x:v>5</x:v>
      </x:c>
      <x:c r="N18" s="22" t="n">
        <x:f>ROUNDUP(E18*(1+$B$9)/$B$7,0)</x:f>
        <x:v>11</x:v>
      </x:c>
      <x:c r="O18" s="22" t="n">
        <x:f>ROUNDUP(C18*(1+$B$9)/$B$8,0)</x:f>
        <x:v>12</x:v>
      </x:c>
      <x:c r="P18" s="22" t="n">
        <x:f>ROUNDUP(E18*(1+$B$9)/$B$8,0)</x:f>
        <x:v>26</x:v>
      </x:c>
    </x:row>
    <x:row r="19" ht="42" customHeight="1">
      <x:c r="A19" s="11" t="str">
        <x:v>P06</x:v>
      </x:c>
      <x:c r="B19" s="11" t="str">
        <x:v>Misto e ponti</x:v>
      </x:c>
      <x:c r="C19" s="19" t="n">
        <x:f>SUMIFS('Attivita'!$H$6:$H$53,'Attivita'!$B$6:$B$53,A19)</x:f>
        <x:v>22</x:v>
      </x:c>
      <x:c r="D19" s="19" t="n">
        <x:f>SUMIFS('Attivita'!$I$6:$I$53,'Attivita'!$B$6:$B$53,A19)</x:f>
        <x:v>33</x:v>
      </x:c>
      <x:c r="E19" s="19" t="n">
        <x:f>SUMIFS('Attivita'!$J$6:$J$53,'Attivita'!$B$6:$B$53,A19)</x:f>
        <x:v>51</x:v>
      </x:c>
      <x:c r="F19" s="19" t="n">
        <x:f>D19*(1+$B$9)</x:f>
        <x:v>39.6</x:v>
      </x:c>
      <x:c r="G19" s="19" t="n">
        <x:f>ROUNDUP(F19/$B$7,0)</x:f>
        <x:v>8</x:v>
      </x:c>
      <x:c r="H19" s="17" t="n">
        <x:f>I18+1</x:f>
        <x:v>46545</x:v>
      </x:c>
      <x:c r="I19" s="17" t="n">
        <x:f>H19+7*G19-1</x:f>
        <x:v>46600</x:v>
      </x:c>
      <x:c r="J19" s="21" t="n">
        <x:f>ROUNDUP(F19/$B$8,0)</x:f>
        <x:v>20</x:v>
      </x:c>
      <x:c r="K19" s="17" t="n">
        <x:f>L18+1</x:f>
        <x:v>46881</x:v>
      </x:c>
      <x:c r="L19" s="17" t="n">
        <x:f>K19+7*J19-1</x:f>
        <x:v>47020</x:v>
      </x:c>
      <x:c r="M19" s="21" t="n">
        <x:f>ROUNDUP(C19*(1+$B$9)/$B$7,0)</x:f>
        <x:v>6</x:v>
      </x:c>
      <x:c r="N19" s="21" t="n">
        <x:f>ROUNDUP(E19*(1+$B$9)/$B$7,0)</x:f>
        <x:v>13</x:v>
      </x:c>
      <x:c r="O19" s="21" t="n">
        <x:f>ROUNDUP(C19*(1+$B$9)/$B$8,0)</x:f>
        <x:v>14</x:v>
      </x:c>
      <x:c r="P19" s="21" t="n">
        <x:f>ROUNDUP(E19*(1+$B$9)/$B$8,0)</x:f>
        <x:v>31</x:v>
      </x:c>
    </x:row>
    <x:row r="20" ht="42" customHeight="1">
      <x:c r="A20" s="10" t="str">
        <x:v>P07</x:v>
      </x:c>
      <x:c r="B20" s="10" t="str">
        <x:v>Calcestruzzo precompresso</x:v>
      </x:c>
      <x:c r="C20" s="20" t="n">
        <x:f>SUMIFS('Attivita'!$H$6:$H$53,'Attivita'!$B$6:$B$53,A20)</x:f>
        <x:v>17</x:v>
      </x:c>
      <x:c r="D20" s="20" t="n">
        <x:f>SUMIFS('Attivita'!$I$6:$I$53,'Attivita'!$B$6:$B$53,A20)</x:f>
        <x:v>26</x:v>
      </x:c>
      <x:c r="E20" s="20" t="n">
        <x:f>SUMIFS('Attivita'!$J$6:$J$53,'Attivita'!$B$6:$B$53,A20)</x:f>
        <x:v>41</x:v>
      </x:c>
      <x:c r="F20" s="20" t="n">
        <x:f>D20*(1+$B$9)</x:f>
        <x:v>31.2</x:v>
      </x:c>
      <x:c r="G20" s="20" t="n">
        <x:f>ROUNDUP(F20/$B$7,0)</x:f>
        <x:v>7</x:v>
      </x:c>
      <x:c r="H20" s="18" t="n">
        <x:f>I19+1</x:f>
        <x:v>46601</x:v>
      </x:c>
      <x:c r="I20" s="18" t="n">
        <x:f>H20+7*G20-1</x:f>
        <x:v>46649</x:v>
      </x:c>
      <x:c r="J20" s="22" t="n">
        <x:f>ROUNDUP(F20/$B$8,0)</x:f>
        <x:v>16</x:v>
      </x:c>
      <x:c r="K20" s="18" t="n">
        <x:f>L19+1</x:f>
        <x:v>47021</x:v>
      </x:c>
      <x:c r="L20" s="18" t="n">
        <x:f>K20+7*J20-1</x:f>
        <x:v>47132</x:v>
      </x:c>
      <x:c r="M20" s="22" t="n">
        <x:f>ROUNDUP(C20*(1+$B$9)/$B$7,0)</x:f>
        <x:v>5</x:v>
      </x:c>
      <x:c r="N20" s="22" t="n">
        <x:f>ROUNDUP(E20*(1+$B$9)/$B$7,0)</x:f>
        <x:v>10</x:v>
      </x:c>
      <x:c r="O20" s="22" t="n">
        <x:f>ROUNDUP(C20*(1+$B$9)/$B$8,0)</x:f>
        <x:v>11</x:v>
      </x:c>
      <x:c r="P20" s="22" t="n">
        <x:f>ROUNDUP(E20*(1+$B$9)/$B$8,0)</x:f>
        <x:v>25</x:v>
      </x:c>
    </x:row>
    <x:row r="21" ht="42" customHeight="1">
      <x:c r="A21" s="11" t="str">
        <x:v>P08</x:v>
      </x:c>
      <x:c r="B21" s="11" t="str">
        <x:v>Rilascio integrato</x:v>
      </x:c>
      <x:c r="C21" s="19" t="n">
        <x:f>SUMIFS('Attivita'!$H$6:$H$53,'Attivita'!$B$6:$B$53,A21)</x:f>
        <x:v>7</x:v>
      </x:c>
      <x:c r="D21" s="19" t="n">
        <x:f>SUMIFS('Attivita'!$I$6:$I$53,'Attivita'!$B$6:$B$53,A21)</x:f>
        <x:v>11</x:v>
      </x:c>
      <x:c r="E21" s="19" t="n">
        <x:f>SUMIFS('Attivita'!$J$6:$J$53,'Attivita'!$B$6:$B$53,A21)</x:f>
        <x:v>18</x:v>
      </x:c>
      <x:c r="F21" s="19" t="n">
        <x:f>D21*(1+$B$9)</x:f>
        <x:v>13.2</x:v>
      </x:c>
      <x:c r="G21" s="19" t="n">
        <x:f>ROUNDUP(F21/$B$7,0)</x:f>
        <x:v>3</x:v>
      </x:c>
      <x:c r="H21" s="17" t="n">
        <x:f>I20+1</x:f>
        <x:v>46650</x:v>
      </x:c>
      <x:c r="I21" s="17" t="n">
        <x:f>H21+7*G21-1</x:f>
        <x:v>46670</x:v>
      </x:c>
      <x:c r="J21" s="21" t="n">
        <x:f>ROUNDUP(F21/$B$8,0)</x:f>
        <x:v>7</x:v>
      </x:c>
      <x:c r="K21" s="17" t="n">
        <x:f>L20+1</x:f>
        <x:v>47133</x:v>
      </x:c>
      <x:c r="L21" s="17" t="n">
        <x:f>K21+7*J21-1</x:f>
        <x:v>47181</x:v>
      </x:c>
      <x:c r="M21" s="21" t="n">
        <x:f>ROUNDUP(C21*(1+$B$9)/$B$7,0)</x:f>
        <x:v>2</x:v>
      </x:c>
      <x:c r="N21" s="21" t="n">
        <x:f>ROUNDUP(E21*(1+$B$9)/$B$7,0)</x:f>
        <x:v>5</x:v>
      </x:c>
      <x:c r="O21" s="21" t="n">
        <x:f>ROUNDUP(C21*(1+$B$9)/$B$8,0)</x:f>
        <x:v>5</x:v>
      </x:c>
      <x:c r="P21" s="21" t="n">
        <x:f>ROUNDUP(E21*(1+$B$9)/$B$8,0)</x:f>
        <x:v>11</x:v>
      </x:c>
    </x:row>
    <x:row r="22" ht="42" customHeight="1">
      <x:c r="A22" s="10" t="str">
        <x:v>B01</x:v>
      </x:c>
      <x:c r="B22" s="10" t="str">
        <x:v>Nucleo openBIM</x:v>
      </x:c>
      <x:c r="C22" s="20" t="n">
        <x:f>SUMIFS('Attivita'!$H$6:$H$53,'Attivita'!$B$6:$B$53,A22)</x:f>
        <x:v>11</x:v>
      </x:c>
      <x:c r="D22" s="20" t="n">
        <x:f>SUMIFS('Attivita'!$I$6:$I$53,'Attivita'!$B$6:$B$53,A22)</x:f>
        <x:v>18</x:v>
      </x:c>
      <x:c r="E22" s="20" t="n">
        <x:f>SUMIFS('Attivita'!$J$6:$J$53,'Attivita'!$B$6:$B$53,A22)</x:f>
        <x:v>27</x:v>
      </x:c>
      <x:c r="F22" s="20" t="n">
        <x:f>D22*(1+$B$9)</x:f>
        <x:v>21.599999999999998</x:v>
      </x:c>
      <x:c r="G22" s="20" t="n">
        <x:f>ROUNDUP(F22/$B$7,0)</x:f>
        <x:v>5</x:v>
      </x:c>
      <x:c r="H22" s="18" t="n">
        <x:f>I21+1</x:f>
        <x:v>46671</x:v>
      </x:c>
      <x:c r="I22" s="18" t="n">
        <x:f>H22+7*G22-1</x:f>
        <x:v>46705</x:v>
      </x:c>
      <x:c r="J22" s="22" t="n">
        <x:f>ROUNDUP(F22/$B$8,0)</x:f>
        <x:v>11</x:v>
      </x:c>
      <x:c r="K22" s="18" t="n">
        <x:f>L21+1</x:f>
        <x:v>47182</x:v>
      </x:c>
      <x:c r="L22" s="18" t="n">
        <x:f>K22+7*J22-1</x:f>
        <x:v>47258</x:v>
      </x:c>
      <x:c r="M22" s="22" t="n">
        <x:f>ROUNDUP(C22*(1+$B$9)/$B$7,0)</x:f>
        <x:v>3</x:v>
      </x:c>
      <x:c r="N22" s="22" t="n">
        <x:f>ROUNDUP(E22*(1+$B$9)/$B$7,0)</x:f>
        <x:v>7</x:v>
      </x:c>
      <x:c r="O22" s="22" t="n">
        <x:f>ROUNDUP(C22*(1+$B$9)/$B$8,0)</x:f>
        <x:v>7</x:v>
      </x:c>
      <x:c r="P22" s="22" t="n">
        <x:f>ROUNDUP(E22*(1+$B$9)/$B$8,0)</x:f>
        <x:v>17</x:v>
      </x:c>
    </x:row>
    <x:row r="23" ht="42" customHeight="1">
      <x:c r="A23" s="11" t="str">
        <x:v>B02</x:v>
      </x:c>
      <x:c r="B23" s="11" t="str">
        <x:v>Connettore Revit</x:v>
      </x:c>
      <x:c r="C23" s="19" t="n">
        <x:f>SUMIFS('Attivita'!$H$6:$H$53,'Attivita'!$B$6:$B$53,A23)</x:f>
        <x:v>13</x:v>
      </x:c>
      <x:c r="D23" s="19" t="n">
        <x:f>SUMIFS('Attivita'!$I$6:$I$53,'Attivita'!$B$6:$B$53,A23)</x:f>
        <x:v>19</x:v>
      </x:c>
      <x:c r="E23" s="19" t="n">
        <x:f>SUMIFS('Attivita'!$J$6:$J$53,'Attivita'!$B$6:$B$53,A23)</x:f>
        <x:v>30</x:v>
      </x:c>
      <x:c r="F23" s="19" t="n">
        <x:f>D23*(1+$B$9)</x:f>
        <x:v>22.8</x:v>
      </x:c>
      <x:c r="G23" s="19" t="n">
        <x:f>ROUNDUP(F23/$B$7,0)</x:f>
        <x:v>5</x:v>
      </x:c>
      <x:c r="H23" s="17" t="n">
        <x:f>I22+1</x:f>
        <x:v>46706</x:v>
      </x:c>
      <x:c r="I23" s="17" t="n">
        <x:f>H23+7*G23-1</x:f>
        <x:v>46740</x:v>
      </x:c>
      <x:c r="J23" s="21" t="n">
        <x:f>ROUNDUP(F23/$B$8,0)</x:f>
        <x:v>12</x:v>
      </x:c>
      <x:c r="K23" s="17" t="n">
        <x:f>L22+1</x:f>
        <x:v>47259</x:v>
      </x:c>
      <x:c r="L23" s="17" t="n">
        <x:f>K23+7*J23-1</x:f>
        <x:v>47342</x:v>
      </x:c>
      <x:c r="M23" s="21" t="n">
        <x:f>ROUNDUP(C23*(1+$B$9)/$B$7,0)</x:f>
        <x:v>4</x:v>
      </x:c>
      <x:c r="N23" s="21" t="n">
        <x:f>ROUNDUP(E23*(1+$B$9)/$B$7,0)</x:f>
        <x:v>8</x:v>
      </x:c>
      <x:c r="O23" s="21" t="n">
        <x:f>ROUNDUP(C23*(1+$B$9)/$B$8,0)</x:f>
        <x:v>8</x:v>
      </x:c>
      <x:c r="P23" s="21" t="n">
        <x:f>ROUNDUP(E23*(1+$B$9)/$B$8,0)</x:f>
        <x:v>18</x:v>
      </x:c>
    </x:row>
    <x:row r="24" ht="42" customHeight="1">
      <x:c r="A24" s="10" t="str">
        <x:v>B03</x:v>
      </x:c>
      <x:c r="B24" s="10" t="str">
        <x:v>Connettore Tekla</x:v>
      </x:c>
      <x:c r="C24" s="20" t="n">
        <x:f>SUMIFS('Attivita'!$H$6:$H$53,'Attivita'!$B$6:$B$53,A24)</x:f>
        <x:v>13</x:v>
      </x:c>
      <x:c r="D24" s="20" t="n">
        <x:f>SUMIFS('Attivita'!$I$6:$I$53,'Attivita'!$B$6:$B$53,A24)</x:f>
        <x:v>19</x:v>
      </x:c>
      <x:c r="E24" s="20" t="n">
        <x:f>SUMIFS('Attivita'!$J$6:$J$53,'Attivita'!$B$6:$B$53,A24)</x:f>
        <x:v>30</x:v>
      </x:c>
      <x:c r="F24" s="20" t="n">
        <x:f>D24*(1+$B$9)</x:f>
        <x:v>22.8</x:v>
      </x:c>
      <x:c r="G24" s="20" t="n">
        <x:f>ROUNDUP(F24/$B$7,0)</x:f>
        <x:v>5</x:v>
      </x:c>
      <x:c r="H24" s="18" t="n">
        <x:f>I23+1</x:f>
        <x:v>46741</x:v>
      </x:c>
      <x:c r="I24" s="18" t="n">
        <x:f>H24+7*G24-1</x:f>
        <x:v>46775</x:v>
      </x:c>
      <x:c r="J24" s="22" t="n">
        <x:f>ROUNDUP(F24/$B$8,0)</x:f>
        <x:v>12</x:v>
      </x:c>
      <x:c r="K24" s="18" t="n">
        <x:f>L23+1</x:f>
        <x:v>47343</x:v>
      </x:c>
      <x:c r="L24" s="18" t="n">
        <x:f>K24+7*J24-1</x:f>
        <x:v>47426</x:v>
      </x:c>
      <x:c r="M24" s="22" t="n">
        <x:f>ROUNDUP(C24*(1+$B$9)/$B$7,0)</x:f>
        <x:v>4</x:v>
      </x:c>
      <x:c r="N24" s="22" t="n">
        <x:f>ROUNDUP(E24*(1+$B$9)/$B$7,0)</x:f>
        <x:v>8</x:v>
      </x:c>
      <x:c r="O24" s="22" t="n">
        <x:f>ROUNDUP(C24*(1+$B$9)/$B$8,0)</x:f>
        <x:v>8</x:v>
      </x:c>
      <x:c r="P24" s="22" t="n">
        <x:f>ROUNDUP(E24*(1+$B$9)/$B$8,0)</x:f>
        <x:v>18</x:v>
      </x:c>
    </x:row>
    <x:row r="25" ht="42" customHeight="1">
      <x:c r="A25" s="11" t="str">
        <x:v>B04</x:v>
      </x:c>
      <x:c r="B25" s="11" t="str">
        <x:v>Coordinamento BIM e consegna</x:v>
      </x:c>
      <x:c r="C25" s="19" t="n">
        <x:f>SUMIFS('Attivita'!$H$6:$H$53,'Attivita'!$B$6:$B$53,A25)</x:f>
        <x:v>11</x:v>
      </x:c>
      <x:c r="D25" s="19" t="n">
        <x:f>SUMIFS('Attivita'!$I$6:$I$53,'Attivita'!$B$6:$B$53,A25)</x:f>
        <x:v>17</x:v>
      </x:c>
      <x:c r="E25" s="19" t="n">
        <x:f>SUMIFS('Attivita'!$J$6:$J$53,'Attivita'!$B$6:$B$53,A25)</x:f>
        <x:v>27</x:v>
      </x:c>
      <x:c r="F25" s="19" t="n">
        <x:f>D25*(1+$B$9)</x:f>
        <x:v>20.4</x:v>
      </x:c>
      <x:c r="G25" s="19" t="n">
        <x:f>ROUNDUP(F25/$B$7,0)</x:f>
        <x:v>5</x:v>
      </x:c>
      <x:c r="H25" s="17" t="n">
        <x:f>I24+1</x:f>
        <x:v>46776</x:v>
      </x:c>
      <x:c r="I25" s="17" t="n">
        <x:f>H25+7*G25-1</x:f>
        <x:v>46810</x:v>
      </x:c>
      <x:c r="J25" s="21" t="n">
        <x:f>ROUNDUP(F25/$B$8,0)</x:f>
        <x:v>11</x:v>
      </x:c>
      <x:c r="K25" s="17" t="n">
        <x:f>L24+1</x:f>
        <x:v>47427</x:v>
      </x:c>
      <x:c r="L25" s="17" t="n">
        <x:f>K25+7*J25-1</x:f>
        <x:v>47503</x:v>
      </x:c>
      <x:c r="M25" s="21" t="n">
        <x:f>ROUNDUP(C25*(1+$B$9)/$B$7,0)</x:f>
        <x:v>3</x:v>
      </x:c>
      <x:c r="N25" s="21" t="n">
        <x:f>ROUNDUP(E25*(1+$B$9)/$B$7,0)</x:f>
        <x:v>7</x:v>
      </x:c>
      <x:c r="O25" s="21" t="n">
        <x:f>ROUNDUP(C25*(1+$B$9)/$B$8,0)</x:f>
        <x:v>7</x:v>
      </x:c>
      <x:c r="P25" s="21" t="n">
        <x:f>ROUNDUP(E25*(1+$B$9)/$B$8,0)</x:f>
        <x:v>17</x:v>
      </x:c>
    </x:row>
    <x:row r="26">
      <x:c r="A26" s="24"/>
      <x:c r="B26" s="24" t="str">
        <x:v>TOTALE PROGRAMMA</x:v>
      </x:c>
      <x:c r="C26" s="24" t="n">
        <x:f>SUM(C13:C25)</x:f>
        <x:v>185</x:v>
      </x:c>
      <x:c r="D26" s="24" t="n">
        <x:f>SUM(D13:D25)</x:f>
        <x:v>275</x:v>
      </x:c>
      <x:c r="E26" s="24" t="n">
        <x:f>SUM(E13:E25)</x:f>
        <x:v>427</x:v>
      </x:c>
      <x:c r="F26" s="24" t="n">
        <x:f>SUM(F13:F25)</x:f>
        <x:v>330</x:v>
      </x:c>
      <x:c r="G26" s="24" t="n">
        <x:f>SUM(G13:G25)</x:f>
        <x:v>72</x:v>
      </x:c>
      <x:c r="H26" s="24"/>
      <x:c r="I26" s="25" t="n">
        <x:f>I25</x:f>
        <x:v>46810</x:v>
      </x:c>
      <x:c r="J26" s="24" t="n">
        <x:f>SUM(J13:J25)</x:f>
        <x:v>171</x:v>
      </x:c>
      <x:c r="K26" s="24"/>
      <x:c r="L26" s="25" t="n">
        <x:f>L25</x:f>
        <x:v>47503</x:v>
      </x:c>
      <x:c r="M26" s="24" t="n">
        <x:f>SUM(M13:M25)</x:f>
        <x:v>50</x:v>
      </x:c>
      <x:c r="N26" s="24" t="n">
        <x:f>SUM(N13:N25)</x:f>
        <x:v>110</x:v>
      </x:c>
      <x:c r="O26" s="24" t="n">
        <x:f>SUM(O13:O25)</x:f>
        <x:v>116</x:v>
      </x:c>
      <x:c r="P26" s="24" t="n">
        <x:f>SUM(P13:P25)</x:f>
        <x:v>261</x:v>
      </x:c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</x:row>
  </x:sheetData>
  <x:dataValidations count="2">
    <x:dataValidation type="decimal" operator="between" sqref="B7:B8">
      <x:formula1>0.1</x:formula1>
      <x:formula2>5</x:formula2>
    </x:dataValidation>
    <x:dataValidation type="decimal" operator="between" sqref="B9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10" hidden="0" customWidth="1"/>
    <x:col min="2" max="2" width="9" hidden="0" customWidth="1"/>
    <x:col min="3" max="3" width="18" hidden="0" customWidth="1"/>
    <x:col min="4" max="4" width="30" hidden="0" customWidth="1"/>
    <x:col min="5" max="5" width="62" hidden="0" customWidth="1"/>
    <x:col min="6" max="6" width="16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22" hidden="0" customWidth="1"/>
    <x:col min="12" max="12" width="58" hidden="0" customWidth="1"/>
    <x:col min="13" max="13" width="20" hidden="0" customWidth="1"/>
    <x:col min="14" max="14" width="3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3" t="str">
        <x:v>Attività residue · stime con AI, test e documentazione inclusi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</x:row>
    <x:row r="4">
      <x:c r="A4" s="2" t="str">
        <x:v>Stime in giornate-persona. Celle ambra modificabili. Le attività presenti sono conteggiate soltanto per le estensioni residue.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4" customHeight="1">
      <x:c r="A5" s="9" t="str">
        <x:v>ID</x:v>
      </x:c>
      <x:c r="B5" s="9" t="str">
        <x:v>Fase</x:v>
      </x:c>
      <x:c r="C5" s="9" t="str">
        <x:v>Area</x:v>
      </x:c>
      <x:c r="D5" s="9" t="str">
        <x:v>Consegna</x:v>
      </x:c>
      <x:c r="E5" s="9" t="str">
        <x:v>Perimetro</x:v>
      </x:c>
      <x:c r="F5" s="9" t="str">
        <x:v>Origine</x:v>
      </x:c>
      <x:c r="G5" s="9" t="str">
        <x:v>Priorità</x:v>
      </x:c>
      <x:c r="H5" s="9" t="str">
        <x:v>Min gg</x:v>
      </x:c>
      <x:c r="I5" s="9" t="str">
        <x:v>Base gg</x:v>
      </x:c>
      <x:c r="J5" s="9" t="str">
        <x:v>Max gg</x:v>
      </x:c>
      <x:c r="K5" s="9" t="str">
        <x:v>Dipendenze</x:v>
      </x:c>
      <x:c r="L5" s="9" t="str">
        <x:v>Criterio di accettazione</x:v>
      </x:c>
      <x:c r="M5" s="9" t="str">
        <x:v>Test</x:v>
      </x:c>
      <x:c r="N5" s="9" t="str">
        <x:v>Riferimento</x:v>
      </x:c>
    </x:row>
    <x:row r="6" ht="62" customHeight="1">
      <x:c r="A6" s="11" t="str">
        <x:v>T01</x:v>
      </x:c>
      <x:c r="B6" s="11" t="str">
        <x:v>P00</x:v>
      </x:c>
      <x:c r="C6" s="11" t="str">
        <x:v>Qualità</x:v>
      </x:c>
      <x:c r="D6" s="11" t="str">
        <x:v>Inventario e requisiti</x:v>
      </x:c>
      <x:c r="E6" s="11" t="str">
        <x:v>Congelare baseline DLL, copertura effettiva, esclusioni e priorità della bozza. Scegliere tre progetti pilota.</x:v>
      </x:c>
      <x:c r="F6" s="11" t="str">
        <x:v>Estensione</x:v>
      </x:c>
      <x:c r="G6" s="11" t="str">
        <x:v>P0</x:v>
      </x:c>
      <x:c r="H6" s="13" t="n">
        <x:v>2</x:v>
      </x:c>
      <x:c r="I6" s="13" t="n">
        <x:v>3</x:v>
      </x:c>
      <x:c r="J6" s="13" t="n">
        <x:v>4</x:v>
      </x:c>
      <x:c r="K6" s="11" t="str">
        <x:v>—</x:v>
      </x:c>
      <x:c r="L6" s="11" t="str">
        <x:v>Matrice bozza → funzioni → attività, senza voci perse.</x:v>
      </x:c>
      <x:c r="M6" s="11" t="str">
        <x:v>TST01</x:v>
      </x:c>
      <x:c r="N6" s="11" t="str">
        <x:v>Bozza; ModuleCatalog; guide Rev30</x:v>
      </x:c>
    </x:row>
    <x:row r="7" ht="62" customHeight="1">
      <x:c r="A7" s="10" t="str">
        <x:v>T02</x:v>
      </x:c>
      <x:c r="B7" s="10" t="str">
        <x:v>P00</x:v>
      </x:c>
      <x:c r="C7" s="10" t="str">
        <x:v>Qualità</x:v>
      </x:c>
      <x:c r="D7" s="10" t="str">
        <x:v>Regressioni e prestazioni</x:v>
      </x:c>
      <x:c r="E7" s="10" t="str">
        <x:v>Rieseguire suite esistenti, casi tensionali, ottimizzazione e archivi. Misurare tempi mediani/p95, memoria e cancellazione.</x:v>
      </x:c>
      <x:c r="F7" s="10" t="str">
        <x:v>Estensione</x:v>
      </x:c>
      <x:c r="G7" s="10" t="str">
        <x:v>P0</x:v>
      </x:c>
      <x:c r="H7" s="13" t="n">
        <x:v>3</x:v>
      </x:c>
      <x:c r="I7" s="13" t="n">
        <x:v>5</x:v>
      </x:c>
      <x:c r="J7" s="13" t="n">
        <x:v>7</x:v>
      </x:c>
      <x:c r="K7" s="10" t="str">
        <x:v>T01</x:v>
      </x:c>
      <x:c r="L7" s="10" t="str">
        <x:v>Baseline ripetibile su macchina e file fissati; difetti classificati.</x:v>
      </x:c>
      <x:c r="M7" s="10" t="str">
        <x:v>TST01; TST02</x:v>
      </x:c>
      <x:c r="N7" s="10" t="str">
        <x:v>Suite esistenti; diagnosi tensioni; ricerca armature</x:v>
      </x:c>
    </x:row>
    <x:row r="8" ht="62" customHeight="1">
      <x:c r="A8" s="11" t="str">
        <x:v>T03</x:v>
      </x:c>
      <x:c r="B8" s="11" t="str">
        <x:v>P00</x:v>
      </x:c>
      <x:c r="C8" s="11" t="str">
        <x:v>Qualità</x:v>
      </x:c>
      <x:c r="D8" s="11" t="str">
        <x:v>Correzioni prioritarie e feedback</x:v>
      </x:c>
      <x:c r="E8" s="11" t="str">
        <x:v>Riprodurre i difetti dei casi pilota, risolvere quelli bloccanti e consolidare i flussi UI/report.</x:v>
      </x:c>
      <x:c r="F8" s="11" t="str">
        <x:v>Estensione</x:v>
      </x:c>
      <x:c r="G8" s="11" t="str">
        <x:v>P0</x:v>
      </x:c>
      <x:c r="H8" s="13" t="n">
        <x:v>3</x:v>
      </x:c>
      <x:c r="I8" s="13" t="n">
        <x:v>4</x:v>
      </x:c>
      <x:c r="J8" s="13" t="n">
        <x:v>7</x:v>
      </x:c>
      <x:c r="K8" s="11" t="str">
        <x:v>T02</x:v>
      </x:c>
      <x:c r="L8" s="11" t="str">
        <x:v>Nessun difetto bloccante noto nel perimetro del rilascio.</x:v>
      </x:c>
      <x:c r="M8" s="11" t="str">
        <x:v>TST03; TST04</x:v>
      </x:c>
      <x:c r="N8" s="11" t="str">
        <x:v>Feedback utente; guide pratiche</x:v>
      </x:c>
    </x:row>
    <x:row r="9" ht="62" customHeight="1">
      <x:c r="A9" s="10" t="str">
        <x:v>T04</x:v>
      </x:c>
      <x:c r="B9" s="10" t="str">
        <x:v>P01</x:v>
      </x:c>
      <x:c r="C9" s="10" t="str">
        <x:v>Piattaforma</x:v>
      </x:c>
      <x:c r="D9" s="10" t="str">
        <x:v>Contratti delle librerie</x:v>
      </x:c>
      <x:c r="E9" s="10" t="str">
        <x:v>Separare contratti, unità, convenzioni e versioni per Model, Geometry, Checker e Utilities. Spostare progressivamente i calcoli residui nella libreria concordata.</x:v>
      </x:c>
      <x:c r="F9" s="10" t="str">
        <x:v>Parziale</x:v>
      </x:c>
      <x:c r="G9" s="10" t="str">
        <x:v>P0</x:v>
      </x:c>
      <x:c r="H9" s="13" t="n">
        <x:v>4</x:v>
      </x:c>
      <x:c r="I9" s="13" t="n">
        <x:v>6</x:v>
      </x:c>
      <x:c r="J9" s="13" t="n">
        <x:v>9</x:v>
      </x:c>
      <x:c r="K9" s="10" t="str">
        <x:v>T03</x:v>
      </x:c>
      <x:c r="L9" s="10" t="str">
        <x:v>Stesso caso produce stessi esiti da UI e chiamata diretta; DLL tracciate.</x:v>
      </x:c>
      <x:c r="M9" s="10" t="str">
        <x:v>TST01; TST05</x:v>
      </x:c>
      <x:c r="N9" s="10" t="str">
        <x:v>X.Calculations; lib/Checker</x:v>
      </x:c>
    </x:row>
    <x:row r="10" ht="62" customHeight="1">
      <x:c r="A10" s="11" t="str">
        <x:v>T05</x:v>
      </x:c>
      <x:c r="B10" s="11" t="str">
        <x:v>P01</x:v>
      </x:c>
      <x:c r="C10" s="11" t="str">
        <x:v>Piattaforma</x:v>
      </x:c>
      <x:c r="D10" s="11" t="str">
        <x:v>Dati comuni e archivio</x:v>
      </x:c>
      <x:c r="E10" s="11" t="str">
        <x:v>Consolidare terreni, materiali, durabilità, ancoraggi e azioni condivise, con invalidazione, migrazione e revisioni.</x:v>
      </x:c>
      <x:c r="F10" s="11" t="str">
        <x:v>Estensione</x:v>
      </x:c>
      <x:c r="G10" s="11" t="str">
        <x:v>P0</x:v>
      </x:c>
      <x:c r="H10" s="13" t="n">
        <x:v>3</x:v>
      </x:c>
      <x:c r="I10" s="13" t="n">
        <x:v>4</x:v>
      </x:c>
      <x:c r="J10" s="13" t="n">
        <x:v>6</x:v>
      </x:c>
      <x:c r="K10" s="11" t="str">
        <x:v>T04</x:v>
      </x:c>
      <x:c r="L10" s="11" t="str">
        <x:v>Cambio di un dato comune aggiorna i dipendenti e conserva le revisioni.</x:v>
      </x:c>
      <x:c r="M10" s="11" t="str">
        <x:v>TST05</x:v>
      </x:c>
      <x:c r="N10" s="11" t="str">
        <x:v>X.Core/ProjectShared*; ProjectRevisions</x:v>
      </x:c>
    </x:row>
    <x:row r="11" ht="62" customHeight="1">
      <x:c r="A11" s="10" t="str">
        <x:v>T06</x:v>
      </x:c>
      <x:c r="B11" s="10" t="str">
        <x:v>P01</x:v>
      </x:c>
      <x:c r="C11" s="10" t="str">
        <x:v>Piattaforma</x:v>
      </x:c>
      <x:c r="D11" s="10" t="str">
        <x:v>Scambi e risultati uniformi</x:v>
      </x:c>
      <x:c r="E11" s="10" t="str">
        <x:v>Unificare import Excel/CSV, coordinate, N-M-V-T, esiti non disponibili e metadati. Preparare identificativi stabili per BIM.</x:v>
      </x:c>
      <x:c r="F11" s="10" t="str">
        <x:v>Parziale</x:v>
      </x:c>
      <x:c r="G11" s="10" t="str">
        <x:v>P0</x:v>
      </x:c>
      <x:c r="H11" s="13" t="n">
        <x:v>3</x:v>
      </x:c>
      <x:c r="I11" s="13" t="n">
        <x:v>4</x:v>
      </x:c>
      <x:c r="J11" s="13" t="n">
        <x:v>6</x:v>
      </x:c>
      <x:c r="K11" s="10" t="str">
        <x:v>T04</x:v>
      </x:c>
      <x:c r="L11" s="10" t="str">
        <x:v>Round-trip senza perdita di combinazioni, unità o azioni concomitanti.</x:v>
      </x:c>
      <x:c r="M11" s="10" t="str">
        <x:v>TST05</x:v>
      </x:c>
      <x:c r="N11" s="10" t="str">
        <x:v>SectionActionsExcel; CalculationImports</x:v>
      </x:c>
    </x:row>
    <x:row r="12" ht="62" customHeight="1">
      <x:c r="A12" s="11" t="str">
        <x:v>T07</x:v>
      </x:c>
      <x:c r="B12" s="11" t="str">
        <x:v>P01</x:v>
      </x:c>
      <x:c r="C12" s="11" t="str">
        <x:v>Piattaforma</x:v>
      </x:c>
      <x:c r="D12" s="11" t="str">
        <x:v>Motore asincrono e diagnostica</x:v>
      </x:c>
      <x:c r="E12" s="11" t="str">
        <x:v>Cache per input fisici, parallelismo limitato, cancellazione e diagnostica per tutti i nuovi moduli.</x:v>
      </x:c>
      <x:c r="F12" s="11" t="str">
        <x:v>Estensione</x:v>
      </x:c>
      <x:c r="G12" s="11" t="str">
        <x:v>P0</x:v>
      </x:c>
      <x:c r="H12" s="13" t="n">
        <x:v>2</x:v>
      </x:c>
      <x:c r="I12" s="13" t="n">
        <x:v>3</x:v>
      </x:c>
      <x:c r="J12" s="13" t="n">
        <x:v>5</x:v>
      </x:c>
      <x:c r="K12" s="11" t="str">
        <x:v>T04</x:v>
      </x:c>
      <x:c r="L12" s="11" t="str">
        <x:v>Esiti identici seriali/paralleli; risultati obsoleti non esportabili.</x:v>
      </x:c>
      <x:c r="M12" s="11" t="str">
        <x:v>TST02</x:v>
      </x:c>
      <x:c r="N12" s="11" t="str">
        <x:v>ConcreteReinforcementDesign.Search; ElasticPileVerificationCache</x:v>
      </x:c>
    </x:row>
    <x:row r="13" ht="62" customHeight="1">
      <x:c r="A13" s="10" t="str">
        <x:v>T08</x:v>
      </x:c>
      <x:c r="B13" s="10" t="str">
        <x:v>P02</x:v>
      </x:c>
      <x:c r="C13" s="10" t="str">
        <x:v>Calcestruzzo</x:v>
      </x:c>
      <x:c r="D13" s="10" t="str">
        <x:v>Sezioni generiche</x:v>
      </x:c>
      <x:c r="E13" s="10" t="str">
        <x:v>Contorni poligonali, più fori, barre libere, orientamento e proprietà. Conservare sezioni rettangolari/circolari forate esistenti.</x:v>
      </x:c>
      <x:c r="F13" s="10" t="str">
        <x:v>Nuova</x:v>
      </x:c>
      <x:c r="G13" s="10" t="str">
        <x:v>P1</x:v>
      </x:c>
      <x:c r="H13" s="13" t="n">
        <x:v>4</x:v>
      </x:c>
      <x:c r="I13" s="13" t="n">
        <x:v>6</x:v>
      </x:c>
      <x:c r="J13" s="13" t="n">
        <x:v>9</x:v>
      </x:c>
      <x:c r="K13" s="10" t="str">
        <x:v>T04; T06</x:v>
      </x:c>
      <x:c r="L13" s="10" t="str">
        <x:v>Area, inerzie e trasformazioni verificabili; contorni invalidi respinti.</x:v>
      </x:c>
      <x:c r="M13" s="10" t="str">
        <x:v>TST06</x:v>
      </x:c>
      <x:c r="N13" s="10" t="str">
        <x:v>SezioneCA; SectionRegions; richiesta utente</x:v>
      </x:c>
    </x:row>
    <x:row r="14" ht="62" customHeight="1">
      <x:c r="A14" s="11" t="str">
        <x:v>T09</x:v>
      </x:c>
      <x:c r="B14" s="11" t="str">
        <x:v>P02</x:v>
      </x:c>
      <x:c r="C14" s="11" t="str">
        <x:v>Calcestruzzo</x:v>
      </x:c>
      <x:c r="D14" s="11" t="str">
        <x:v>Dettagli e ancoraggi comuni</x:v>
      </x:c>
      <x:c r="E14" s="11" t="str">
        <x:v>Completare riuso fra sezioni, pali e muri, sovrapposizioni, zone esecutive e coerenza con esposizione SLE.</x:v>
      </x:c>
      <x:c r="F14" s="11" t="str">
        <x:v>Estensione</x:v>
      </x:c>
      <x:c r="G14" s="11" t="str">
        <x:v>P1</x:v>
      </x:c>
      <x:c r="H14" s="13" t="n">
        <x:v>3</x:v>
      </x:c>
      <x:c r="I14" s="13" t="n">
        <x:v>4</x:v>
      </x:c>
      <x:c r="J14" s="13" t="n">
        <x:v>6</x:v>
      </x:c>
      <x:c r="K14" s="11" t="str">
        <x:v>T05</x:v>
      </x:c>
      <x:c r="L14" s="11" t="str">
        <x:v>Medesimi dati danno medesimi esiti nei tre moduli; limiti espliciti.</x:v>
      </x:c>
      <x:c r="M14" s="11" t="str">
        <x:v>TST06</x:v>
      </x:c>
      <x:c r="N14" s="11" t="str">
        <x:v>ConcreteDetailing; ConcreteBond; ConcreteCoverAnalysis</x:v>
      </x:c>
    </x:row>
    <x:row r="15" ht="62" customHeight="1">
      <x:c r="A15" s="10" t="str">
        <x:v>T10</x:v>
      </x:c>
      <x:c r="B15" s="10" t="str">
        <x:v>P02</x:v>
      </x:c>
      <x:c r="C15" s="10" t="str">
        <x:v>Calcestruzzo</x:v>
      </x:c>
      <x:c r="D15" s="10" t="str">
        <x:v>Punzonamento</x:v>
      </x:c>
      <x:c r="E15" s="10" t="str">
        <x:v>Pilastro interno, bordo e angolo; perimetri, aperture ed eccentricità. Prima versione senza/con armatura a punzonamento nei casi concordati.</x:v>
      </x:c>
      <x:c r="F15" s="10" t="str">
        <x:v>Nuova</x:v>
      </x:c>
      <x:c r="G15" s="10" t="str">
        <x:v>P1</x:v>
      </x:c>
      <x:c r="H15" s="13" t="n">
        <x:v>5</x:v>
      </x:c>
      <x:c r="I15" s="13" t="n">
        <x:v>7</x:v>
      </x:c>
      <x:c r="J15" s="13" t="n">
        <x:v>11</x:v>
      </x:c>
      <x:c r="K15" s="10" t="str">
        <x:v>T08</x:v>
      </x:c>
      <x:c r="L15" s="10" t="str">
        <x:v>Almeno due casi per tipologia e controllo indipendente dei perimetri.</x:v>
      </x:c>
      <x:c r="M15" s="10" t="str">
        <x:v>TST06</x:v>
      </x:c>
      <x:c r="N15" s="10" t="str">
        <x:v>Bozza Calcestruzzo B7</x:v>
      </x:c>
    </x:row>
    <x:row r="16" ht="62" customHeight="1">
      <x:c r="A16" s="11" t="str">
        <x:v>T11</x:v>
      </x:c>
      <x:c r="B16" s="11" t="str">
        <x:v>P02</x:v>
      </x:c>
      <x:c r="C16" s="11" t="str">
        <x:v>Calcestruzzo</x:v>
      </x:c>
      <x:c r="D16" s="11" t="str">
        <x:v>Inghisaggi e ancoranti</x:v>
      </x:c>
      <x:c r="E16" s="11" t="str">
        <x:v>Distinguere barre post-installate e ancoranti. Definire dati di prodotto/ETA e rotture applicabili prima del calcolo.</x:v>
      </x:c>
      <x:c r="F16" s="11" t="str">
        <x:v>Nuova</x:v>
      </x:c>
      <x:c r="G16" s="11" t="str">
        <x:v>P1</x:v>
      </x:c>
      <x:c r="H16" s="13" t="n">
        <x:v>5</x:v>
      </x:c>
      <x:c r="I16" s="13" t="n">
        <x:v>7</x:v>
      </x:c>
      <x:c r="J16" s="13" t="n">
        <x:v>12</x:v>
      </x:c>
      <x:c r="K16" s="11" t="str">
        <x:v>T09</x:v>
      </x:c>
      <x:c r="L16" s="11" t="str">
        <x:v>Caso singolo e gruppo con distanze/bordi; nessun esito con dati di prodotto mancanti.</x:v>
      </x:c>
      <x:c r="M16" s="11" t="str">
        <x:v>TST06</x:v>
      </x:c>
      <x:c r="N16" s="11" t="str">
        <x:v>Bozza Calcestruzzo B8</x:v>
      </x:c>
    </x:row>
    <x:row r="17" ht="62" customHeight="1">
      <x:c r="A17" s="10" t="str">
        <x:v>T12</x:v>
      </x:c>
      <x:c r="B17" s="10" t="str">
        <x:v>P02</x:v>
      </x:c>
      <x:c r="C17" s="10" t="str">
        <x:v>Calcestruzzo</x:v>
      </x:c>
      <x:c r="D17" s="10" t="str">
        <x:v>Ricerca armature e risultati</x:v>
      </x:c>
      <x:c r="E17" s="10" t="str">
        <x:v>Consolidare ricerca longitudinale/ortogonale/staffe, candidati alternativi, motivi di scarto, diagrammi e report short.</x:v>
      </x:c>
      <x:c r="F17" s="10" t="str">
        <x:v>Estensione</x:v>
      </x:c>
      <x:c r="G17" s="10" t="str">
        <x:v>P1</x:v>
      </x:c>
      <x:c r="H17" s="13" t="n">
        <x:v>3</x:v>
      </x:c>
      <x:c r="I17" s="13" t="n">
        <x:v>4</x:v>
      </x:c>
      <x:c r="J17" s="13" t="n">
        <x:v>6</x:v>
      </x:c>
      <x:c r="K17" s="10" t="str">
        <x:v>T07; T09</x:v>
      </x:c>
      <x:c r="L17" s="10" t="str">
        <x:v>Candidato applicato ricalcolato; nessuna falsa soluzione; tempi misurati.</x:v>
      </x:c>
      <x:c r="M17" s="10" t="str">
        <x:v>TST02; TST06</x:v>
      </x:c>
      <x:c r="N17" s="10" t="str">
        <x:v>ConcreteReinforcementDesign; ReportConcreteShort</x:v>
      </x:c>
    </x:row>
    <x:row r="18" ht="62" customHeight="1">
      <x:c r="A18" s="11" t="str">
        <x:v>T13</x:v>
      </x:c>
      <x:c r="B18" s="11" t="str">
        <x:v>P03</x:v>
      </x:c>
      <x:c r="C18" s="11" t="str">
        <x:v>Geotecnica</x:v>
      </x:c>
      <x:c r="D18" s="11" t="str">
        <x:v>Fondazioni superficiali autonome</x:v>
      </x:c>
      <x:c r="E18" s="11" t="str">
        <x:v>Estrarre le funzioni dei muri in modulo plinti/travi rovesce: portanza, scorrimento, eccentricità, falda e sisma.</x:v>
      </x:c>
      <x:c r="F18" s="11" t="str">
        <x:v>Parziale</x:v>
      </x:c>
      <x:c r="G18" s="11" t="str">
        <x:v>P1</x:v>
      </x:c>
      <x:c r="H18" s="13" t="n">
        <x:v>4</x:v>
      </x:c>
      <x:c r="I18" s="13" t="n">
        <x:v>6</x:v>
      </x:c>
      <x:c r="J18" s="13" t="n">
        <x:v>9</x:v>
      </x:c>
      <x:c r="K18" s="11" t="str">
        <x:v>T05; T06</x:v>
      </x:c>
      <x:c r="L18" s="11" t="str">
        <x:v>Casi centrato/eccentrico e falda/sisma; limiti di geometria dichiarati.</x:v>
      </x:c>
      <x:c r="M18" s="11" t="str">
        <x:v>TST07</x:v>
      </x:c>
      <x:c r="N18" s="11" t="str">
        <x:v>RetainingWall.Serviceability; bozza Geotecnica B10</x:v>
      </x:c>
    </x:row>
    <x:row r="19" ht="62" customHeight="1">
      <x:c r="A19" s="10" t="str">
        <x:v>T14</x:v>
      </x:c>
      <x:c r="B19" s="10" t="str">
        <x:v>P03</x:v>
      </x:c>
      <x:c r="C19" s="10" t="str">
        <x:v>Geotecnica</x:v>
      </x:c>
      <x:c r="D19" s="10" t="str">
        <x:v>Cedimenti superficiali e molle</x:v>
      </x:c>
      <x:c r="E19" s="10" t="str">
        <x:v>Cedimento immediato/consolidazione nei modelli scelti; moduli, unità e rigidezze equivalenti esportabili.</x:v>
      </x:c>
      <x:c r="F19" s="10" t="str">
        <x:v>Parziale</x:v>
      </x:c>
      <x:c r="G19" s="10" t="str">
        <x:v>P1</x:v>
      </x:c>
      <x:c r="H19" s="13" t="n">
        <x:v>4</x:v>
      </x:c>
      <x:c r="I19" s="13" t="n">
        <x:v>6</x:v>
      </x:c>
      <x:c r="J19" s="13" t="n">
        <x:v>10</x:v>
      </x:c>
      <x:c r="K19" s="10" t="str">
        <x:v>T13</x:v>
      </x:c>
      <x:c r="L19" s="10" t="str">
        <x:v>Confronti manuali e sensibilità stratigrafica; distinzione rigidezza/portanza.</x:v>
      </x:c>
      <x:c r="M19" s="10" t="str">
        <x:v>TST07</x:v>
      </x:c>
      <x:c r="N19" s="10" t="str">
        <x:v>Bozza Geotecnica B7/B11; modelli muri</x:v>
      </x:c>
    </x:row>
    <x:row r="20" ht="62" customHeight="1">
      <x:c r="A20" s="11" t="str">
        <x:v>T15</x:v>
      </x:c>
      <x:c r="B20" s="11" t="str">
        <x:v>P03</x:v>
      </x:c>
      <x:c r="C20" s="11" t="str">
        <x:v>Geotecnica</x:v>
      </x:c>
      <x:c r="D20" s="11" t="str">
        <x:v>Cedimenti pali e molle assiali</x:v>
      </x:c>
      <x:c r="E20" s="11" t="str">
        <x:v>Palo singolo, carico-cedimento, trasferimento lungo fusto/punta e rigidezza assiale. Effetto gruppo con modello dichiarato.</x:v>
      </x:c>
      <x:c r="F20" s="11" t="str">
        <x:v>Nuova</x:v>
      </x:c>
      <x:c r="G20" s="11" t="str">
        <x:v>P1</x:v>
      </x:c>
      <x:c r="H20" s="13" t="n">
        <x:v>5</x:v>
      </x:c>
      <x:c r="I20" s="13" t="n">
        <x:v>8</x:v>
      </x:c>
      <x:c r="J20" s="13" t="n">
        <x:v>12</x:v>
      </x:c>
      <x:c r="K20" s="11" t="str">
        <x:v>T04; T14</x:v>
      </x:c>
      <x:c r="L20" s="11" t="str">
        <x:v>Due casi analitici/di letteratura e prova di sensibilità fusto-punta.</x:v>
      </x:c>
      <x:c r="M20" s="11" t="str">
        <x:v>TST07</x:v>
      </x:c>
      <x:c r="N20" s="11" t="str">
        <x:v>Bozza Geotecnica B7/B8</x:v>
      </x:c>
    </x:row>
    <x:row r="21" ht="62" customHeight="1">
      <x:c r="A21" s="10" t="str">
        <x:v>T16</x:v>
      </x:c>
      <x:c r="B21" s="10" t="str">
        <x:v>P03</x:v>
      </x:c>
      <x:c r="C21" s="10" t="str">
        <x:v>Geotecnica</x:v>
      </x:c>
      <x:c r="D21" s="10" t="str">
        <x:v>Pali e muri: completamento operativo</x:v>
      </x:c>
      <x:c r="E21" s="10" t="str">
        <x:v>Consolidare tratti armati, giunti, nodi palo-plinto, distinte e cautele. Definire separatamente eventuale modello resistente delle spirali.</x:v>
      </x:c>
      <x:c r="F21" s="10" t="str">
        <x:v>Estensione</x:v>
      </x:c>
      <x:c r="G21" s="10" t="str">
        <x:v>P1</x:v>
      </x:c>
      <x:c r="H21" s="13" t="n">
        <x:v>3</x:v>
      </x:c>
      <x:c r="I21" s="13" t="n">
        <x:v>5</x:v>
      </x:c>
      <x:c r="J21" s="13" t="n">
        <x:v>8</x:v>
      </x:c>
      <x:c r="K21" s="10" t="str">
        <x:v>T09; T15</x:v>
      </x:c>
      <x:c r="L21" s="10" t="str">
        <x:v>Tre progetti reali, dettagli mancanti riconoscibili e nessun esito globale improprio.</x:v>
      </x:c>
      <x:c r="M21" s="10" t="str">
        <x:v>TST03; TST07</x:v>
      </x:c>
      <x:c r="N21" s="10" t="str">
        <x:v>ElasticHorizontalPile; RetainingWall.BarSchedule</x:v>
      </x:c>
    </x:row>
    <x:row r="22" ht="62" customHeight="1">
      <x:c r="A22" s="11" t="str">
        <x:v>T17</x:v>
      </x:c>
      <x:c r="B22" s="11" t="str">
        <x:v>P04</x:v>
      </x:c>
      <x:c r="C22" s="11" t="str">
        <x:v>Azioni</x:v>
      </x:c>
      <x:c r="D22" s="11" t="str">
        <x:v>Casi di carico e combinazioni</x:v>
      </x:c>
      <x:c r="E22" s="11" t="str">
        <x:v>Dizionario G/Q, gruppi esclusivi, coefficienti e famiglie SLU/SLE/sismiche; origine delle azioni e inviluppi concomitanti.</x:v>
      </x:c>
      <x:c r="F22" s="11" t="str">
        <x:v>Nuova</x:v>
      </x:c>
      <x:c r="G22" s="11" t="str">
        <x:v>P1</x:v>
      </x:c>
      <x:c r="H22" s="13" t="n">
        <x:v>3</x:v>
      </x:c>
      <x:c r="I22" s="13" t="n">
        <x:v>5</x:v>
      </x:c>
      <x:c r="J22" s="13" t="n">
        <x:v>7</x:v>
      </x:c>
      <x:c r="K22" s="11" t="str">
        <x:v>T06</x:v>
      </x:c>
      <x:c r="L22" s="11" t="str">
        <x:v>Combinazioni ripercorribili e nessun inviluppo fittizio N-M-V-T.</x:v>
      </x:c>
      <x:c r="M22" s="11" t="str">
        <x:v>TST08</x:v>
      </x:c>
      <x:c r="N22" s="11" t="str">
        <x:v>Bozza Azioni; import azioni già presente</x:v>
      </x:c>
    </x:row>
    <x:row r="23" ht="62" customHeight="1">
      <x:c r="A23" s="10" t="str">
        <x:v>T18</x:v>
      </x:c>
      <x:c r="B23" s="10" t="str">
        <x:v>P04</x:v>
      </x:c>
      <x:c r="C23" s="10" t="str">
        <x:v>Azioni</x:v>
      </x:c>
      <x:c r="D23" s="10" t="str">
        <x:v>Vento</x:v>
      </x:c>
      <x:c r="E23" s="10" t="str">
        <x:v>Velocità/pressione, esposizione, coefficienti e geometrie iniziali concordate; report del percorso di calcolo.</x:v>
      </x:c>
      <x:c r="F23" s="10" t="str">
        <x:v>Nuova</x:v>
      </x:c>
      <x:c r="G23" s="10" t="str">
        <x:v>P1</x:v>
      </x:c>
      <x:c r="H23" s="13" t="n">
        <x:v>3</x:v>
      </x:c>
      <x:c r="I23" s="13" t="n">
        <x:v>4</x:v>
      </x:c>
      <x:c r="J23" s="13" t="n">
        <x:v>6</x:v>
      </x:c>
      <x:c r="K23" s="10" t="str">
        <x:v>T17</x:v>
      </x:c>
      <x:c r="L23" s="10" t="str">
        <x:v>Due esempi e sensibilità quota/esposizione; casi fuori campo segnalati.</x:v>
      </x:c>
      <x:c r="M23" s="10" t="str">
        <x:v>TST08</x:v>
      </x:c>
      <x:c r="N23" s="10" t="str">
        <x:v>Bozza Azioni B3</x:v>
      </x:c>
    </x:row>
    <x:row r="24" ht="62" customHeight="1">
      <x:c r="A24" s="11" t="str">
        <x:v>T19</x:v>
      </x:c>
      <x:c r="B24" s="11" t="str">
        <x:v>P04</x:v>
      </x:c>
      <x:c r="C24" s="11" t="str">
        <x:v>Azioni</x:v>
      </x:c>
      <x:c r="D24" s="11" t="str">
        <x:v>Temperatura e neve</x:v>
      </x:c>
      <x:c r="E24" s="11" t="str">
        <x:v>Azioni uniformi e gradienti termici; neve con quota, forma e accumuli nei casi selezionati.</x:v>
      </x:c>
      <x:c r="F24" s="11" t="str">
        <x:v>Nuova</x:v>
      </x:c>
      <x:c r="G24" s="11" t="str">
        <x:v>P1</x:v>
      </x:c>
      <x:c r="H24" s="13" t="n">
        <x:v>4</x:v>
      </x:c>
      <x:c r="I24" s="13" t="n">
        <x:v>6</x:v>
      </x:c>
      <x:c r="J24" s="13" t="n">
        <x:v>9</x:v>
      </x:c>
      <x:c r="K24" s="11" t="str">
        <x:v>T17</x:v>
      </x:c>
      <x:c r="L24" s="11" t="str">
        <x:v>Due casi termici e due neve; unità e segni provati.</x:v>
      </x:c>
      <x:c r="M24" s="11" t="str">
        <x:v>TST08</x:v>
      </x:c>
      <x:c r="N24" s="11" t="str">
        <x:v>Bozza Azioni B4/B5</x:v>
      </x:c>
    </x:row>
    <x:row r="25" ht="62" customHeight="1">
      <x:c r="A25" s="10" t="str">
        <x:v>T20</x:v>
      </x:c>
      <x:c r="B25" s="10" t="str">
        <x:v>P04</x:v>
      </x:c>
      <x:c r="C25" s="10" t="str">
        <x:v>Azioni</x:v>
      </x:c>
      <x:c r="D25" s="10" t="str">
        <x:v>Traffico e carichi mobili</x:v>
      </x:c>
      <x:c r="E25" s="10" t="str">
        <x:v>Schemi di carico, corsie e posizioni per ponti; generazione azioni/scambi. Analisi globale completa esclusa da questa attività.</x:v>
      </x:c>
      <x:c r="F25" s="10" t="str">
        <x:v>Parziale</x:v>
      </x:c>
      <x:c r="G25" s="10" t="str">
        <x:v>P1</x:v>
      </x:c>
      <x:c r="H25" s="13" t="n">
        <x:v>5</x:v>
      </x:c>
      <x:c r="I25" s="13" t="n">
        <x:v>7</x:v>
      </x:c>
      <x:c r="J25" s="13" t="n">
        <x:v>11</x:v>
      </x:c>
      <x:c r="K25" s="10" t="str">
        <x:v>T17</x:v>
      </x:c>
      <x:c r="L25" s="10" t="str">
        <x:v>Carico mobile confrontato su trave campione, posizioni governanti tracciate.</x:v>
      </x:c>
      <x:c r="M25" s="10" t="str">
        <x:v>TST08</x:v>
      </x:c>
      <x:c r="N25" s="10" t="str">
        <x:v>Bozza Azioni B6; Bridge Design preliminare</x:v>
      </x:c>
    </x:row>
    <x:row r="26" ht="62" customHeight="1">
      <x:c r="A26" s="11" t="str">
        <x:v>T21</x:v>
      </x:c>
      <x:c r="B26" s="11" t="str">
        <x:v>P05</x:v>
      </x:c>
      <x:c r="C26" s="11" t="str">
        <x:v>Acciaio</x:v>
      </x:c>
      <x:c r="D26" s="11" t="str">
        <x:v>Materiali e sezioni autonome</x:v>
      </x:c>
      <x:c r="E26" s="11" t="str">
        <x:v>Cataloghi, proprietà lorde ed efficaci, classificazione 1–4, sezioni saldate e composte; evitare doppioni del motore ponti.</x:v>
      </x:c>
      <x:c r="F26" s="11" t="str">
        <x:v>Parziale</x:v>
      </x:c>
      <x:c r="G26" s="11" t="str">
        <x:v>P1</x:v>
      </x:c>
      <x:c r="H26" s="13" t="n">
        <x:v>4</x:v>
      </x:c>
      <x:c r="I26" s="13" t="n">
        <x:v>6</x:v>
      </x:c>
      <x:c r="J26" s="13" t="n">
        <x:v>9</x:v>
      </x:c>
      <x:c r="K26" s="11" t="str">
        <x:v>T04; T06</x:v>
      </x:c>
      <x:c r="L26" s="11" t="str">
        <x:v>Proprietà confrontate con cataloghi e casi manuali, assi locali verificati.</x:v>
      </x:c>
      <x:c r="M26" s="11" t="str">
        <x:v>TST09</x:v>
      </x:c>
      <x:c r="N26" s="11" t="str">
        <x:v>Bozza Acciaio B2/B3; BridgeSection.Properties</x:v>
      </x:c>
    </x:row>
    <x:row r="27" ht="62" customHeight="1">
      <x:c r="A27" s="10" t="str">
        <x:v>T22</x:v>
      </x:c>
      <x:c r="B27" s="10" t="str">
        <x:v>P05</x:v>
      </x:c>
      <x:c r="C27" s="10" t="str">
        <x:v>Acciaio</x:v>
      </x:c>
      <x:c r="D27" s="10" t="str">
        <x:v>Resistenza delle sezioni</x:v>
      </x:c>
      <x:c r="E27" s="10" t="str">
        <x:v>N-Mx-My-V-T e interazioni per le classi previste; rendere visibili i limiti della classe 4.</x:v>
      </x:c>
      <x:c r="F27" s="10" t="str">
        <x:v>Parziale</x:v>
      </x:c>
      <x:c r="G27" s="10" t="str">
        <x:v>P1</x:v>
      </x:c>
      <x:c r="H27" s="13" t="n">
        <x:v>5</x:v>
      </x:c>
      <x:c r="I27" s="13" t="n">
        <x:v>7</x:v>
      </x:c>
      <x:c r="J27" s="13" t="n">
        <x:v>10</x:v>
      </x:c>
      <x:c r="K27" s="10" t="str">
        <x:v>T21</x:v>
      </x:c>
      <x:c r="L27" s="10" t="str">
        <x:v>Casi elastici/plastici ed efficaci con controlli indipendenti.</x:v>
      </x:c>
      <x:c r="M27" s="10" t="str">
        <x:v>TST09</x:v>
      </x:c>
      <x:c r="N27" s="10" t="str">
        <x:v>Bozza Acciaio B4/C5/C6</x:v>
      </x:c>
    </x:row>
    <x:row r="28" ht="62" customHeight="1">
      <x:c r="A28" s="11" t="str">
        <x:v>T23</x:v>
      </x:c>
      <x:c r="B28" s="11" t="str">
        <x:v>P05</x:v>
      </x:c>
      <x:c r="C28" s="11" t="str">
        <x:v>Acciaio</x:v>
      </x:c>
      <x:c r="D28" s="11" t="str">
        <x:v>Stabilità aste e pannelli</x:v>
      </x:c>
      <x:c r="E28" s="11" t="str">
        <x:v>Instabilità flessionale/flesso-torsionale, laterale e pannello anima; vincoli e lunghezze efficaci espliciti.</x:v>
      </x:c>
      <x:c r="F28" s="11" t="str">
        <x:v>Parziale</x:v>
      </x:c>
      <x:c r="G28" s="11" t="str">
        <x:v>P1</x:v>
      </x:c>
      <x:c r="H28" s="13" t="n">
        <x:v>5</x:v>
      </x:c>
      <x:c r="I28" s="13" t="n">
        <x:v>7</x:v>
      </x:c>
      <x:c r="J28" s="13" t="n">
        <x:v>11</x:v>
      </x:c>
      <x:c r="K28" s="11" t="str">
        <x:v>T22</x:v>
      </x:c>
      <x:c r="L28" s="11" t="str">
        <x:v>Compressione, trave e pannello, con almeno due condizioni di vincolo.</x:v>
      </x:c>
      <x:c r="M28" s="11" t="str">
        <x:v>TST09</x:v>
      </x:c>
      <x:c r="N28" s="11" t="str">
        <x:v>Bozza Acciaio B10; controlli locali ponti</x:v>
      </x:c>
    </x:row>
    <x:row r="29" ht="62" customHeight="1">
      <x:c r="A29" s="10" t="str">
        <x:v>T24</x:v>
      </x:c>
      <x:c r="B29" s="10" t="str">
        <x:v>P05</x:v>
      </x:c>
      <x:c r="C29" s="10" t="str">
        <x:v>Acciaio</x:v>
      </x:c>
      <x:c r="D29" s="10" t="str">
        <x:v>Connessioni e coprigiunti</x:v>
      </x:c>
      <x:c r="E29" s="10" t="str">
        <x:v>Prima famiglia: giunti bullonati e saldati, coprigiunti, verifiche componenti, distanze e disegno schematico.</x:v>
      </x:c>
      <x:c r="F29" s="10" t="str">
        <x:v>Nuova</x:v>
      </x:c>
      <x:c r="G29" s="10" t="str">
        <x:v>P1</x:v>
      </x:c>
      <x:c r="H29" s="13" t="n">
        <x:v>6</x:v>
      </x:c>
      <x:c r="I29" s="13" t="n">
        <x:v>8</x:v>
      </x:c>
      <x:c r="J29" s="13" t="n">
        <x:v>13</x:v>
      </x:c>
      <x:c r="K29" s="10" t="str">
        <x:v>T22</x:v>
      </x:c>
      <x:c r="L29" s="10" t="str">
        <x:v>Due schemi di giunto e controllo manuale delle rotture applicabili.</x:v>
      </x:c>
      <x:c r="M29" s="10" t="str">
        <x:v>TST09</x:v>
      </x:c>
      <x:c r="N29" s="10" t="str">
        <x:v>Bozza Acciaio B7/C8</x:v>
      </x:c>
    </x:row>
    <x:row r="30" ht="62" customHeight="1">
      <x:c r="A30" s="11" t="str">
        <x:v>T25</x:v>
      </x:c>
      <x:c r="B30" s="11" t="str">
        <x:v>P06</x:v>
      </x:c>
      <x:c r="C30" s="11" t="str">
        <x:v>Misto e ponti</x:v>
      </x:c>
      <x:c r="D30" s="11" t="str">
        <x:v>Classe 4 e metodi di analisi</x:v>
      </x:c>
      <x:c r="E30" s="11" t="str">
        <x:v>Consolidare proprietà efficaci, verifiche locali e matrice di copertura fra cumulativo e metodi con storico.</x:v>
      </x:c>
      <x:c r="F30" s="11" t="str">
        <x:v>Estensione</x:v>
      </x:c>
      <x:c r="G30" s="11" t="str">
        <x:v>P1</x:v>
      </x:c>
      <x:c r="H30" s="13" t="n">
        <x:v>4</x:v>
      </x:c>
      <x:c r="I30" s="13" t="n">
        <x:v>6</x:v>
      </x:c>
      <x:c r="J30" s="13" t="n">
        <x:v>9</x:v>
      </x:c>
      <x:c r="K30" s="11" t="str">
        <x:v>T22; T23</x:v>
      </x:c>
      <x:c r="L30" s="11" t="str">
        <x:v>Ogni metodo dichiara ciò che verifica e ciò che resta da completare.</x:v>
      </x:c>
      <x:c r="M30" s="11" t="str">
        <x:v>TST10</x:v>
      </x:c>
      <x:c r="N30" s="11" t="str">
        <x:v>BridgeSection; guida metodi e limiti</x:v>
      </x:c>
    </x:row>
    <x:row r="31" ht="62" customHeight="1">
      <x:c r="A31" s="10" t="str">
        <x:v>T26</x:v>
      </x:c>
      <x:c r="B31" s="10" t="str">
        <x:v>P06</x:v>
      </x:c>
      <x:c r="C31" s="10" t="str">
        <x:v>Misto e ponti</x:v>
      </x:c>
      <x:c r="D31" s="10" t="str">
        <x:v>Travata e collegamento delle fasi</x:v>
      </x:c>
      <x:c r="E31" s="10" t="str">
        <x:v>Trasferire geometrie, fasi e azioni dal progetto alle sezioni locali, con riferimenti di stazione e confronto degli stati.</x:v>
      </x:c>
      <x:c r="F31" s="10" t="str">
        <x:v>Parziale</x:v>
      </x:c>
      <x:c r="G31" s="10" t="str">
        <x:v>P1</x:v>
      </x:c>
      <x:c r="H31" s="13" t="n">
        <x:v>5</x:v>
      </x:c>
      <x:c r="I31" s="13" t="n">
        <x:v>8</x:v>
      </x:c>
      <x:c r="J31" s="13" t="n">
        <x:v>12</x:v>
      </x:c>
      <x:c r="K31" s="10" t="str">
        <x:v>T20; T25</x:v>
      </x:c>
      <x:c r="L31" s="10" t="str">
        <x:v>Ponte campione con tre sezioni, azioni da analisi esterna e trasferimento senza ambiguità.</x:v>
      </x:c>
      <x:c r="M31" s="10" t="str">
        <x:v>TST10</x:v>
      </x:c>
      <x:c r="N31" s="10" t="str">
        <x:v>Bozza Misto B4; Bridge Design non trasferisce modello verificato</x:v>
      </x:c>
    </x:row>
    <x:row r="32" ht="62" customHeight="1">
      <x:c r="A32" s="11" t="str">
        <x:v>T27</x:v>
      </x:c>
      <x:c r="B32" s="11" t="str">
        <x:v>P06</x:v>
      </x:c>
      <x:c r="C32" s="11" t="str">
        <x:v>Misto e ponti</x:v>
      </x:c>
      <x:c r="D32" s="11" t="str">
        <x:v>Predalles e soletta per fasi</x:v>
      </x:c>
      <x:c r="E32" s="11" t="str">
        <x:v>Elemento prefabbricato, getto integrativo, materiali e armature propri, puntellamento, interfaccia e fasi di montaggio.</x:v>
      </x:c>
      <x:c r="F32" s="11" t="str">
        <x:v>Parziale</x:v>
      </x:c>
      <x:c r="G32" s="11" t="str">
        <x:v>P1</x:v>
      </x:c>
      <x:c r="H32" s="13" t="n">
        <x:v>5</x:v>
      </x:c>
      <x:c r="I32" s="13" t="n">
        <x:v>7</x:v>
      </x:c>
      <x:c r="J32" s="13" t="n">
        <x:v>11</x:v>
      </x:c>
      <x:c r="K32" s="11" t="str">
        <x:v>T09; T25</x:v>
      </x:c>
      <x:c r="L32" s="11" t="str">
        <x:v>Due sequenze di costruzione e confronto con/senza puntelli.</x:v>
      </x:c>
      <x:c r="M32" s="11" t="str">
        <x:v>TST10</x:v>
      </x:c>
      <x:c r="N32" s="11" t="str">
        <x:v>Bozza Misto B5; BridgeSection.SlabLayout</x:v>
      </x:c>
    </x:row>
    <x:row r="33" ht="62" customHeight="1">
      <x:c r="A33" s="10" t="str">
        <x:v>T28</x:v>
      </x:c>
      <x:c r="B33" s="10" t="str">
        <x:v>P06</x:v>
      </x:c>
      <x:c r="C33" s="10" t="str">
        <x:v>Misto e ponti</x:v>
      </x:c>
      <x:c r="D33" s="10" t="str">
        <x:v>Connettori e fatica selezionata</x:v>
      </x:c>
      <x:c r="E33" s="10" t="str">
        <x:v>Scorrimento longitudinale, connettori e dettagli di fatica scelti; censire ciò che esiste nel Checker prima di estendere.</x:v>
      </x:c>
      <x:c r="F33" s="10" t="str">
        <x:v>Parziale</x:v>
      </x:c>
      <x:c r="G33" s="10" t="str">
        <x:v>P2</x:v>
      </x:c>
      <x:c r="H33" s="13" t="n">
        <x:v>5</x:v>
      </x:c>
      <x:c r="I33" s="13" t="n">
        <x:v>8</x:v>
      </x:c>
      <x:c r="J33" s="13" t="n">
        <x:v>13</x:v>
      </x:c>
      <x:c r="K33" s="10" t="str">
        <x:v>T24; T25</x:v>
      </x:c>
      <x:c r="L33" s="10" t="str">
        <x:v>Due casi per controllo attivato, storico/cicli e categoria di dettaglio tracciati.</x:v>
      </x:c>
      <x:c r="M33" s="10" t="str">
        <x:v>TST10</x:v>
      </x:c>
      <x:c r="N33" s="10" t="str">
        <x:v>Bozza Misto B3/B4; estensione proposta</x:v>
      </x:c>
    </x:row>
    <x:row r="34" ht="62" customHeight="1">
      <x:c r="A34" s="11" t="str">
        <x:v>T29</x:v>
      </x:c>
      <x:c r="B34" s="11" t="str">
        <x:v>P06</x:v>
      </x:c>
      <x:c r="C34" s="11" t="str">
        <x:v>Misto e ponti</x:v>
      </x:c>
      <x:c r="D34" s="11" t="str">
        <x:v>Bridge Design e confronti</x:v>
      </x:c>
      <x:c r="E34" s="11" t="str">
        <x:v>Consolidare ottimizzazione, sensibilità prezzi/CO₂, fattibilità e passaggio delle alternative al flusso analitico.</x:v>
      </x:c>
      <x:c r="F34" s="11" t="str">
        <x:v>Estensione</x:v>
      </x:c>
      <x:c r="G34" s="11" t="str">
        <x:v>P2</x:v>
      </x:c>
      <x:c r="H34" s="13" t="n">
        <x:v>3</x:v>
      </x:c>
      <x:c r="I34" s="13" t="n">
        <x:v>4</x:v>
      </x:c>
      <x:c r="J34" s="13" t="n">
        <x:v>6</x:v>
      </x:c>
      <x:c r="K34" s="11" t="str">
        <x:v>T26</x:v>
      </x:c>
      <x:c r="L34" s="11" t="str">
        <x:v>Alternative riproducibili, obiettivi dichiarati e separazione predimensionamento/verifica.</x:v>
      </x:c>
      <x:c r="M34" s="11" t="str">
        <x:v>TST10</x:v>
      </x:c>
      <x:c r="N34" s="11" t="str">
        <x:v>BridgeConcept; suite IndependentChecks</x:v>
      </x:c>
    </x:row>
    <x:row r="35" ht="62" customHeight="1">
      <x:c r="A35" s="10" t="str">
        <x:v>T30</x:v>
      </x:c>
      <x:c r="B35" s="10" t="str">
        <x:v>P07</x:v>
      </x:c>
      <x:c r="C35" s="10" t="str">
        <x:v>CAP</x:v>
      </x:c>
      <x:c r="D35" s="10" t="str">
        <x:v>Materiali e tracciato dei cavi</x:v>
      </x:c>
      <x:c r="E35" s="10" t="str">
        <x:v>Proprietà trefoli, pretensione/post-tensione, aderenza, eccentricità e fasi. Scegliere i casi iniziali.</x:v>
      </x:c>
      <x:c r="F35" s="10" t="str">
        <x:v>Parziale</x:v>
      </x:c>
      <x:c r="G35" s="10" t="str">
        <x:v>P2</x:v>
      </x:c>
      <x:c r="H35" s="13" t="n">
        <x:v>4</x:v>
      </x:c>
      <x:c r="I35" s="13" t="n">
        <x:v>6</x:v>
      </x:c>
      <x:c r="J35" s="13" t="n">
        <x:v>9</x:v>
      </x:c>
      <x:c r="K35" s="10" t="str">
        <x:v>T04; T25</x:v>
      </x:c>
      <x:c r="L35" s="10" t="str">
        <x:v>Due sezioni precompresse e gestione chiara delle unità e della predeformazione.</x:v>
      </x:c>
      <x:c r="M35" s="10" t="str">
        <x:v>TST11</x:v>
      </x:c>
      <x:c r="N35" s="10" t="str">
        <x:v>Bozza CAP vuota; trefoli sezionali esistenti</x:v>
      </x:c>
    </x:row>
    <x:row r="36" ht="62" customHeight="1">
      <x:c r="A36" s="11" t="str">
        <x:v>T31</x:v>
      </x:c>
      <x:c r="B36" s="11" t="str">
        <x:v>P07</x:v>
      </x:c>
      <x:c r="C36" s="11" t="str">
        <x:v>CAP</x:v>
      </x:c>
      <x:c r="D36" s="11" t="str">
        <x:v>Perdite e storia della precompressione</x:v>
      </x:c>
      <x:c r="E36" s="11" t="str">
        <x:v>Attrito, rientro, accorciamento, viscosità, ritiro e rilassamento; successione temporale documentata.</x:v>
      </x:c>
      <x:c r="F36" s="11" t="str">
        <x:v>Nuova</x:v>
      </x:c>
      <x:c r="G36" s="11" t="str">
        <x:v>P2</x:v>
      </x:c>
      <x:c r="H36" s="13" t="n">
        <x:v>5</x:v>
      </x:c>
      <x:c r="I36" s="13" t="n">
        <x:v>8</x:v>
      </x:c>
      <x:c r="J36" s="13" t="n">
        <x:v>13</x:v>
      </x:c>
      <x:c r="K36" s="11" t="str">
        <x:v>T30</x:v>
      </x:c>
      <x:c r="L36" s="11" t="str">
        <x:v>Confronto perdite istantanee/differite e bilancio della forza per fase.</x:v>
      </x:c>
      <x:c r="M36" s="11" t="str">
        <x:v>TST11</x:v>
      </x:c>
      <x:c r="N36" s="11" t="str">
        <x:v>Guide: perdite non ricostruite automaticamente</x:v>
      </x:c>
    </x:row>
    <x:row r="37" ht="62" customHeight="1">
      <x:c r="A37" s="10" t="str">
        <x:v>T32</x:v>
      </x:c>
      <x:c r="B37" s="10" t="str">
        <x:v>P07</x:v>
      </x:c>
      <x:c r="C37" s="10" t="str">
        <x:v>CAP</x:v>
      </x:c>
      <x:c r="D37" s="10" t="str">
        <x:v>Verifiche CAP</x:v>
      </x:c>
      <x:c r="E37" s="10" t="str">
        <x:v>SLU/SLE, decompressione, fessurazione e taglio con contributi dei cavi; limiti espliciti delle zone di ancoraggio.</x:v>
      </x:c>
      <x:c r="F37" s="10" t="str">
        <x:v>Parziale</x:v>
      </x:c>
      <x:c r="G37" s="10" t="str">
        <x:v>P2</x:v>
      </x:c>
      <x:c r="H37" s="13" t="n">
        <x:v>5</x:v>
      </x:c>
      <x:c r="I37" s="13" t="n">
        <x:v>8</x:v>
      </x:c>
      <x:c r="J37" s="13" t="n">
        <x:v>13</x:v>
      </x:c>
      <x:c r="K37" s="10" t="str">
        <x:v>T31; T09</x:v>
      </x:c>
      <x:c r="L37" s="10" t="str">
        <x:v>Nessuna applicazione implicita delle regole CA al CAP; test per ogni controllo.</x:v>
      </x:c>
      <x:c r="M37" s="10" t="str">
        <x:v>TST11</x:v>
      </x:c>
      <x:c r="N37" s="10" t="str">
        <x:v>ConcreteShearAnalysis; Ntc2018Checks: CAP da completare</x:v>
      </x:c>
    </x:row>
    <x:row r="38" ht="62" customHeight="1">
      <x:c r="A38" s="11" t="str">
        <x:v>T33</x:v>
      </x:c>
      <x:c r="B38" s="11" t="str">
        <x:v>P07</x:v>
      </x:c>
      <x:c r="C38" s="11" t="str">
        <x:v>CAP</x:v>
      </x:c>
      <x:c r="D38" s="11" t="str">
        <x:v>Interfaccia e caso pilota</x:v>
      </x:c>
      <x:c r="E38" s="11" t="str">
        <x:v>Vista cavi/fasi, confronto ipotesi, report e caso reale di trave o impalcato concordato.</x:v>
      </x:c>
      <x:c r="F38" s="11" t="str">
        <x:v>Nuova</x:v>
      </x:c>
      <x:c r="G38" s="11" t="str">
        <x:v>P2</x:v>
      </x:c>
      <x:c r="H38" s="13" t="n">
        <x:v>3</x:v>
      </x:c>
      <x:c r="I38" s="13" t="n">
        <x:v>4</x:v>
      </x:c>
      <x:c r="J38" s="13" t="n">
        <x:v>6</x:v>
      </x:c>
      <x:c r="K38" s="11" t="str">
        <x:v>T32</x:v>
      </x:c>
      <x:c r="L38" s="11" t="str">
        <x:v>Calcolo salvato-riaperto riproduce fasi, perdite e risultati.</x:v>
      </x:c>
      <x:c r="M38" s="11" t="str">
        <x:v>TST03; TST11</x:v>
      </x:c>
      <x:c r="N38" s="11" t="str">
        <x:v>Estensione proposta</x:v>
      </x:c>
    </x:row>
    <x:row r="39" ht="62" customHeight="1">
      <x:c r="A39" s="10" t="str">
        <x:v>T34</x:v>
      </x:c>
      <x:c r="B39" s="10" t="str">
        <x:v>P08</x:v>
      </x:c>
      <x:c r="C39" s="10" t="str">
        <x:v>Rilascio</x:v>
      </x:c>
      <x:c r="D39" s="10" t="str">
        <x:v>Collaudo integrato</x:v>
      </x:c>
      <x:c r="E39" s="10" t="str">
        <x:v>Tre progetti trasversali, compatibilità archivi, installazione pulita, dipendenze e prestazioni.</x:v>
      </x:c>
      <x:c r="F39" s="10" t="str">
        <x:v>Estensione</x:v>
      </x:c>
      <x:c r="G39" s="10" t="str">
        <x:v>P0</x:v>
      </x:c>
      <x:c r="H39" s="13" t="n">
        <x:v>3</x:v>
      </x:c>
      <x:c r="I39" s="13" t="n">
        <x:v>5</x:v>
      </x:c>
      <x:c r="J39" s="13" t="n">
        <x:v>8</x:v>
      </x:c>
      <x:c r="K39" s="10" t="str">
        <x:v>T16; T19; T29; T33</x:v>
      </x:c>
      <x:c r="L39" s="10" t="str">
        <x:v>Tutti i criteri di rilascio soddisfatti e difetti residui accettati.</x:v>
      </x:c>
      <x:c r="M39" s="10" t="str">
        <x:v>TST12</x:v>
      </x:c>
      <x:c r="N39" s="10" t="str">
        <x:v>Suite e installer esistenti</x:v>
      </x:c>
    </x:row>
    <x:row r="40" ht="62" customHeight="1">
      <x:c r="A40" s="11" t="str">
        <x:v>T35</x:v>
      </x:c>
      <x:c r="B40" s="11" t="str">
        <x:v>P08</x:v>
      </x:c>
      <x:c r="C40" s="11" t="str">
        <x:v>Rilascio</x:v>
      </x:c>
      <x:c r="D40" s="11" t="str">
        <x:v>Documenti e librerie distribuite</x:v>
      </x:c>
      <x:c r="E40" s="11" t="str">
        <x:v>Allineare guide globali, dossier di validazione, esempi, manifest DLL, note di rilascio e pacchetto installabile.</x:v>
      </x:c>
      <x:c r="F40" s="11" t="str">
        <x:v>Estensione</x:v>
      </x:c>
      <x:c r="G40" s="11" t="str">
        <x:v>P0</x:v>
      </x:c>
      <x:c r="H40" s="13" t="n">
        <x:v>2</x:v>
      </x:c>
      <x:c r="I40" s="13" t="n">
        <x:v>3</x:v>
      </x:c>
      <x:c r="J40" s="13" t="n">
        <x:v>5</x:v>
      </x:c>
      <x:c r="K40" s="11" t="str">
        <x:v>T34</x:v>
      </x:c>
      <x:c r="L40" s="11" t="str">
        <x:v>Versioni e risultati concordanti tra app, report e documentazione.</x:v>
      </x:c>
      <x:c r="M40" s="11" t="str">
        <x:v>TST12</x:v>
      </x:c>
      <x:c r="N40" s="11" t="str">
        <x:v>Guide Rev30; installer; lib/Checker/manifest.json</x:v>
      </x:c>
    </x:row>
    <x:row r="41" ht="62" customHeight="1">
      <x:c r="A41" s="10" t="str">
        <x:v>T36</x:v>
      </x:c>
      <x:c r="B41" s="10" t="str">
        <x:v>P08</x:v>
      </x:c>
      <x:c r="C41" s="10" t="str">
        <x:v>Rilascio</x:v>
      </x:c>
      <x:c r="D41" s="10" t="str">
        <x:v>Feedback finale e stabilizzazione</x:v>
      </x:c>
      <x:c r="E41" s="10" t="str">
        <x:v>Sessione operativa assistita, correzioni prioritarie e accettazione del rilascio funzionale.</x:v>
      </x:c>
      <x:c r="F41" s="10" t="str">
        <x:v>Estensione</x:v>
      </x:c>
      <x:c r="G41" s="10" t="str">
        <x:v>P0</x:v>
      </x:c>
      <x:c r="H41" s="13" t="n">
        <x:v>2</x:v>
      </x:c>
      <x:c r="I41" s="13" t="n">
        <x:v>3</x:v>
      </x:c>
      <x:c r="J41" s="13" t="n">
        <x:v>5</x:v>
      </x:c>
      <x:c r="K41" s="10" t="str">
        <x:v>T35</x:v>
      </x:c>
      <x:c r="L41" s="10" t="str">
        <x:v>Approvazione del referente tecnico, backlog residuo ordinato.</x:v>
      </x:c>
      <x:c r="M41" s="10" t="str">
        <x:v>TST03; TST12</x:v>
      </x:c>
      <x:c r="N41" s="10" t="str">
        <x:v>Estensione proposta</x:v>
      </x:c>
    </x:row>
    <x:row r="42" ht="62" customHeight="1">
      <x:c r="A42" s="11" t="str">
        <x:v>T37</x:v>
      </x:c>
      <x:c r="B42" s="11" t="str">
        <x:v>B01</x:v>
      </x:c>
      <x:c r="C42" s="11" t="str">
        <x:v>BIM</x:v>
      </x:c>
      <x:c r="D42" s="11" t="str">
        <x:v>Contratto BIM e casi pilota</x:v>
      </x:c>
      <x:c r="E42" s="11" t="str">
        <x:v>Oggetti supportati, GUID, unità, coordinate, revisione, mapping materiali, responsabilità del dato e profilo IFC scambiabile.</x:v>
      </x:c>
      <x:c r="F42" s="11" t="str">
        <x:v>Nuova</x:v>
      </x:c>
      <x:c r="G42" s="11" t="str">
        <x:v>P1</x:v>
      </x:c>
      <x:c r="H42" s="13" t="n">
        <x:v>3</x:v>
      </x:c>
      <x:c r="I42" s="13" t="n">
        <x:v>5</x:v>
      </x:c>
      <x:c r="J42" s="13" t="n">
        <x:v>7</x:v>
      </x:c>
      <x:c r="K42" s="11" t="str">
        <x:v>T06; T36</x:v>
      </x:c>
      <x:c r="L42" s="11" t="str">
        <x:v>Due modelli campione, uno Revit e uno Tekla, con dizionario dati approvato.</x:v>
      </x:c>
      <x:c r="M42" s="11" t="str">
        <x:v>TST13</x:v>
      </x:c>
      <x:c r="N42" s="11" t="str">
        <x:v>IFC ufficiale; proposta architetturale</x:v>
      </x:c>
    </x:row>
    <x:row r="43" ht="62" customHeight="1">
      <x:c r="A43" s="10" t="str">
        <x:v>T38</x:v>
      </x:c>
      <x:c r="B43" s="10" t="str">
        <x:v>B01</x:v>
      </x:c>
      <x:c r="C43" s="10" t="str">
        <x:v>BIM</x:v>
      </x:c>
      <x:c r="D43" s="10" t="str">
        <x:v>Import IFC selettivo</x:v>
      </x:c>
      <x:c r="E43" s="10" t="str">
        <x:v>Leggere elementi, geometrie e proprietà del perimetro pilota. Anteprima delle associazioni e quarantena dei dati incompleti.</x:v>
      </x:c>
      <x:c r="F43" s="10" t="str">
        <x:v>Nuova</x:v>
      </x:c>
      <x:c r="G43" s="10" t="str">
        <x:v>P1</x:v>
      </x:c>
      <x:c r="H43" s="13" t="n">
        <x:v>5</x:v>
      </x:c>
      <x:c r="I43" s="13" t="n">
        <x:v>8</x:v>
      </x:c>
      <x:c r="J43" s="13" t="n">
        <x:v>12</x:v>
      </x:c>
      <x:c r="K43" s="10" t="str">
        <x:v>T37</x:v>
      </x:c>
      <x:c r="L43" s="10" t="str">
        <x:v>Identità, assi, unità, fori e sezioni confrontati su entrambi i modelli.</x:v>
      </x:c>
      <x:c r="M43" s="10" t="str">
        <x:v>TST13</x:v>
      </x:c>
      <x:c r="N43" s="10" t="str">
        <x:v>IFC 4.3; profilo da validare nei due software</x:v>
      </x:c>
    </x:row>
    <x:row r="44" ht="62" customHeight="1">
      <x:c r="A44" s="11" t="str">
        <x:v>T39</x:v>
      </x:c>
      <x:c r="B44" s="11" t="str">
        <x:v>B01</x:v>
      </x:c>
      <x:c r="C44" s="11" t="str">
        <x:v>BIM</x:v>
      </x:c>
      <x:c r="D44" s="11" t="str">
        <x:v>Esiti e requisiti informativi</x:v>
      </x:c>
      <x:c r="E44" s="11" t="str">
        <x:v>Esportare collegamenti ai report e proprietà di verifica. IDS per dati richiesti; BCF per anomalie e osservazioni.</x:v>
      </x:c>
      <x:c r="F44" s="11" t="str">
        <x:v>Nuova</x:v>
      </x:c>
      <x:c r="G44" s="11" t="str">
        <x:v>P1</x:v>
      </x:c>
      <x:c r="H44" s="13" t="n">
        <x:v>3</x:v>
      </x:c>
      <x:c r="I44" s="13" t="n">
        <x:v>5</x:v>
      </x:c>
      <x:c r="J44" s="13" t="n">
        <x:v>8</x:v>
      </x:c>
      <x:c r="K44" s="11" t="str">
        <x:v>T38</x:v>
      </x:c>
      <x:c r="L44" s="11" t="str">
        <x:v>Oggetto errato produce segnalazione localizzabile; nessun esito senza combinazione/revisione.</x:v>
      </x:c>
      <x:c r="M44" s="11" t="str">
        <x:v>TST13</x:v>
      </x:c>
      <x:c r="N44" s="11" t="str">
        <x:v>IDS; BCF ufficiali</x:v>
      </x:c>
    </x:row>
    <x:row r="45" ht="62" customHeight="1">
      <x:c r="A45" s="10" t="str">
        <x:v>T40</x:v>
      </x:c>
      <x:c r="B45" s="10" t="str">
        <x:v>B02</x:v>
      </x:c>
      <x:c r="C45" s="10" t="str">
        <x:v>BIM Revit</x:v>
      </x:c>
      <x:c r="D45" s="10" t="str">
        <x:v>Lettura e associazione Revit</x:v>
      </x:c>
      <x:c r="E45" s="10" t="str">
        <x:v>Connettore per elementi selezionati, sezioni/materiali, modello fisico/analitico e identificativi persistenti.</x:v>
      </x:c>
      <x:c r="F45" s="10" t="str">
        <x:v>Nuova</x:v>
      </x:c>
      <x:c r="G45" s="10" t="str">
        <x:v>P1</x:v>
      </x:c>
      <x:c r="H45" s="13" t="n">
        <x:v>5</x:v>
      </x:c>
      <x:c r="I45" s="13" t="n">
        <x:v>7</x:v>
      </x:c>
      <x:c r="J45" s="13" t="n">
        <x:v>11</x:v>
      </x:c>
      <x:c r="K45" s="10" t="str">
        <x:v>T39</x:v>
      </x:c>
      <x:c r="L45" s="10" t="str">
        <x:v>Import ripetuto non duplica oggetti; disallineamenti fisico/analitico espliciti.</x:v>
      </x:c>
      <x:c r="M45" s="10" t="str">
        <x:v>TST14</x:v>
      </x:c>
      <x:c r="N45" s="10" t="str">
        <x:v>Autodesk Revit API</x:v>
      </x:c>
    </x:row>
    <x:row r="46" ht="62" customHeight="1">
      <x:c r="A46" s="11" t="str">
        <x:v>T41</x:v>
      </x:c>
      <x:c r="B46" s="11" t="str">
        <x:v>B02</x:v>
      </x:c>
      <x:c r="C46" s="11" t="str">
        <x:v>BIM Revit</x:v>
      </x:c>
      <x:c r="D46" s="11" t="str">
        <x:v>Restituzione armature ed esiti</x:v>
      </x:c>
      <x:c r="E46" s="11" t="str">
        <x:v>Parametri di verifica, report e prima famiglia di armature approvate. Anteprima e transazione annullabile.</x:v>
      </x:c>
      <x:c r="F46" s="11" t="str">
        <x:v>Nuova</x:v>
      </x:c>
      <x:c r="G46" s="11" t="str">
        <x:v>P1</x:v>
      </x:c>
      <x:c r="H46" s="13" t="n">
        <x:v>5</x:v>
      </x:c>
      <x:c r="I46" s="13" t="n">
        <x:v>8</x:v>
      </x:c>
      <x:c r="J46" s="13" t="n">
        <x:v>13</x:v>
      </x:c>
      <x:c r="K46" s="11" t="str">
        <x:v>T40; T09</x:v>
      </x:c>
      <x:c r="L46" s="11" t="str">
        <x:v>Copriferri, diametri, quantità e pieghe confrontati; elementi non supportati esclusi.</x:v>
      </x:c>
      <x:c r="M46" s="11" t="str">
        <x:v>TST14</x:v>
      </x:c>
      <x:c r="N46" s="11" t="str">
        <x:v>Autodesk Revit API; proposta</x:v>
      </x:c>
    </x:row>
    <x:row r="47" ht="62" customHeight="1">
      <x:c r="A47" s="10" t="str">
        <x:v>T42</x:v>
      </x:c>
      <x:c r="B47" s="10" t="str">
        <x:v>B02</x:v>
      </x:c>
      <x:c r="C47" s="10" t="str">
        <x:v>BIM Revit</x:v>
      </x:c>
      <x:c r="D47" s="10" t="str">
        <x:v>Pilota e feedback Revit</x:v>
      </x:c>
      <x:c r="E47" s="10" t="str">
        <x:v>Installazione, compatibilità versione scelta, prova operatore e aggiornamento del modello dopo una modifica.</x:v>
      </x:c>
      <x:c r="F47" s="10" t="str">
        <x:v>Nuova</x:v>
      </x:c>
      <x:c r="G47" s="10" t="str">
        <x:v>P1</x:v>
      </x:c>
      <x:c r="H47" s="13" t="n">
        <x:v>3</x:v>
      </x:c>
      <x:c r="I47" s="13" t="n">
        <x:v>4</x:v>
      </x:c>
      <x:c r="J47" s="13" t="n">
        <x:v>6</x:v>
      </x:c>
      <x:c r="K47" s="10" t="str">
        <x:v>T41</x:v>
      </x:c>
      <x:c r="L47" s="10" t="str">
        <x:v>Andata/ritorno su modello pilota senza perdita di identità o unità.</x:v>
      </x:c>
      <x:c r="M47" s="10" t="str">
        <x:v>TST14</x:v>
      </x:c>
      <x:c r="N47" s="10" t="str">
        <x:v>Proposta; modello Revit utente</x:v>
      </x:c>
    </x:row>
    <x:row r="48" ht="62" customHeight="1">
      <x:c r="A48" s="11" t="str">
        <x:v>T43</x:v>
      </x:c>
      <x:c r="B48" s="11" t="str">
        <x:v>B03</x:v>
      </x:c>
      <x:c r="C48" s="11" t="str">
        <x:v>BIM Tekla</x:v>
      </x:c>
      <x:c r="D48" s="11" t="str">
        <x:v>Lettura e associazione Tekla</x:v>
      </x:c>
      <x:c r="E48" s="11" t="str">
        <x:v>Connettore per parti, profili, materiali e gruppi armatura; riuso contratto e risultati comuni.</x:v>
      </x:c>
      <x:c r="F48" s="11" t="str">
        <x:v>Nuova</x:v>
      </x:c>
      <x:c r="G48" s="11" t="str">
        <x:v>P1</x:v>
      </x:c>
      <x:c r="H48" s="13" t="n">
        <x:v>5</x:v>
      </x:c>
      <x:c r="I48" s="13" t="n">
        <x:v>7</x:v>
      </x:c>
      <x:c r="J48" s="13" t="n">
        <x:v>11</x:v>
      </x:c>
      <x:c r="K48" s="11" t="str">
        <x:v>T39; T42</x:v>
      </x:c>
      <x:c r="L48" s="11" t="str">
        <x:v>Import ripetuto idempotente; orientamenti e materiali confrontati.</x:v>
      </x:c>
      <x:c r="M48" s="11" t="str">
        <x:v>TST15</x:v>
      </x:c>
      <x:c r="N48" s="11" t="str">
        <x:v>Tekla Open API</x:v>
      </x:c>
    </x:row>
    <x:row r="49" ht="62" customHeight="1">
      <x:c r="A49" s="10" t="str">
        <x:v>T44</x:v>
      </x:c>
      <x:c r="B49" s="10" t="str">
        <x:v>B03</x:v>
      </x:c>
      <x:c r="C49" s="10" t="str">
        <x:v>BIM Tekla</x:v>
      </x:c>
      <x:c r="D49" s="10" t="str">
        <x:v>Armature, distinte e risultati</x:v>
      </x:c>
      <x:c r="E49" s="10" t="str">
        <x:v>Prima famiglia di barre/staffe, attributi di verifica e confronto quantità. Applicazione solo dopo conferma dell’operatore.</x:v>
      </x:c>
      <x:c r="F49" s="10" t="str">
        <x:v>Nuova</x:v>
      </x:c>
      <x:c r="G49" s="10" t="str">
        <x:v>P1</x:v>
      </x:c>
      <x:c r="H49" s="13" t="n">
        <x:v>5</x:v>
      </x:c>
      <x:c r="I49" s="13" t="n">
        <x:v>8</x:v>
      </x:c>
      <x:c r="J49" s="13" t="n">
        <x:v>13</x:v>
      </x:c>
      <x:c r="K49" s="10" t="str">
        <x:v>T43; T09</x:v>
      </x:c>
      <x:c r="L49" s="10" t="str">
        <x:v>Pieghe, lunghezze e quantità confrontate con distinta ANTHEA e modello.</x:v>
      </x:c>
      <x:c r="M49" s="10" t="str">
        <x:v>TST15</x:v>
      </x:c>
      <x:c r="N49" s="10" t="str">
        <x:v>Tekla Open API; proposta</x:v>
      </x:c>
    </x:row>
    <x:row r="50" ht="62" customHeight="1">
      <x:c r="A50" s="11" t="str">
        <x:v>T45</x:v>
      </x:c>
      <x:c r="B50" s="11" t="str">
        <x:v>B03</x:v>
      </x:c>
      <x:c r="C50" s="11" t="str">
        <x:v>BIM Tekla</x:v>
      </x:c>
      <x:c r="D50" s="11" t="str">
        <x:v>Pilota e feedback Tekla</x:v>
      </x:c>
      <x:c r="E50" s="11" t="str">
        <x:v>Compatibilità versione scelta, prova con modellatore e aggiornamento incrementale del progetto.</x:v>
      </x:c>
      <x:c r="F50" s="11" t="str">
        <x:v>Nuova</x:v>
      </x:c>
      <x:c r="G50" s="11" t="str">
        <x:v>P1</x:v>
      </x:c>
      <x:c r="H50" s="13" t="n">
        <x:v>3</x:v>
      </x:c>
      <x:c r="I50" s="13" t="n">
        <x:v>4</x:v>
      </x:c>
      <x:c r="J50" s="13" t="n">
        <x:v>6</x:v>
      </x:c>
      <x:c r="K50" s="11" t="str">
        <x:v>T44</x:v>
      </x:c>
      <x:c r="L50" s="11" t="str">
        <x:v>Andata/ritorno verificato sul modello pilota e installazione ripetibile.</x:v>
      </x:c>
      <x:c r="M50" s="11" t="str">
        <x:v>TST15</x:v>
      </x:c>
      <x:c r="N50" s="11" t="str">
        <x:v>Proposta; modello Tekla utente</x:v>
      </x:c>
    </x:row>
    <x:row r="51" ht="62" customHeight="1">
      <x:c r="A51" s="10" t="str">
        <x:v>T46</x:v>
      </x:c>
      <x:c r="B51" s="10" t="str">
        <x:v>B04</x:v>
      </x:c>
      <x:c r="C51" s="10" t="str">
        <x:v>BIM</x:v>
      </x:c>
      <x:c r="D51" s="10" t="str">
        <x:v>Revisioni e conflitti</x:v>
      </x:c>
      <x:c r="E51" s="10" t="str">
        <x:v>Confronto prima/dopo, mappa delle modifiche, proprietà possedute dai diversi sistemi e scelta del dato da mantenere.</x:v>
      </x:c>
      <x:c r="F51" s="10" t="str">
        <x:v>Nuova</x:v>
      </x:c>
      <x:c r="G51" s="10" t="str">
        <x:v>P1</x:v>
      </x:c>
      <x:c r="H51" s="13" t="n">
        <x:v>5</x:v>
      </x:c>
      <x:c r="I51" s="13" t="n">
        <x:v>7</x:v>
      </x:c>
      <x:c r="J51" s="13" t="n">
        <x:v>11</x:v>
      </x:c>
      <x:c r="K51" s="10" t="str">
        <x:v>T42; T45</x:v>
      </x:c>
      <x:c r="L51" s="10" t="str">
        <x:v>Modifica concorrente rilevata; nessuna sovrascrittura silenziosa.</x:v>
      </x:c>
      <x:c r="M51" s="10" t="str">
        <x:v>TST16</x:v>
      </x:c>
      <x:c r="N51" s="10" t="str">
        <x:v>ProjectRevisions; proposta</x:v>
      </x:c>
    </x:row>
    <x:row r="52" ht="62" customHeight="1">
      <x:c r="A52" s="11" t="str">
        <x:v>T47</x:v>
      </x:c>
      <x:c r="B52" s="11" t="str">
        <x:v>B04</x:v>
      </x:c>
      <x:c r="C52" s="11" t="str">
        <x:v>BIM</x:v>
      </x:c>
      <x:c r="D52" s="11" t="str">
        <x:v>Coordinamento e scambio BCF</x:v>
      </x:c>
      <x:c r="E52" s="11" t="str">
        <x:v>Gestire segnalazioni aperte/risolte, collegamenti agli oggetti e alle versioni dei report nei due software.</x:v>
      </x:c>
      <x:c r="F52" s="11" t="str">
        <x:v>Nuova</x:v>
      </x:c>
      <x:c r="G52" s="11" t="str">
        <x:v>P1</x:v>
      </x:c>
      <x:c r="H52" s="13" t="n">
        <x:v>3</x:v>
      </x:c>
      <x:c r="I52" s="13" t="n">
        <x:v>5</x:v>
      </x:c>
      <x:c r="J52" s="13" t="n">
        <x:v>8</x:v>
      </x:c>
      <x:c r="K52" s="11" t="str">
        <x:v>T46</x:v>
      </x:c>
      <x:c r="L52" s="11" t="str">
        <x:v>Issue riaperta mantiene GUID, vista, autore e versione del calcolo.</x:v>
      </x:c>
      <x:c r="M52" s="11" t="str">
        <x:v>TST16</x:v>
      </x:c>
      <x:c r="N52" s="11" t="str">
        <x:v>BCF ufficiale</x:v>
      </x:c>
    </x:row>
    <x:row r="53" ht="62" customHeight="1">
      <x:c r="A53" s="10" t="str">
        <x:v>T48</x:v>
      </x:c>
      <x:c r="B53" s="10" t="str">
        <x:v>B04</x:v>
      </x:c>
      <x:c r="C53" s="10" t="str">
        <x:v>BIM</x:v>
      </x:c>
      <x:c r="D53" s="10" t="str">
        <x:v>Collaudo BIM e consegna</x:v>
      </x:c>
      <x:c r="E53" s="10" t="str">
        <x:v>Progetto completo Revit e Tekla, conflitti, dati mancanti, prestazioni, manuali e manutenzione dei connettori.</x:v>
      </x:c>
      <x:c r="F53" s="10" t="str">
        <x:v>Nuova</x:v>
      </x:c>
      <x:c r="G53" s="10" t="str">
        <x:v>P0</x:v>
      </x:c>
      <x:c r="H53" s="13" t="n">
        <x:v>3</x:v>
      </x:c>
      <x:c r="I53" s="13" t="n">
        <x:v>5</x:v>
      </x:c>
      <x:c r="J53" s="13" t="n">
        <x:v>8</x:v>
      </x:c>
      <x:c r="K53" s="10" t="str">
        <x:v>T47</x:v>
      </x:c>
      <x:c r="L53" s="10" t="str">
        <x:v>Accettazione di tecnico e modellatore su entrambi gli ambienti.</x:v>
      </x:c>
      <x:c r="M53" s="10" t="str">
        <x:v>TST16</x:v>
      </x:c>
      <x:c r="N53" s="10" t="str">
        <x:v>Proposta</x:v>
      </x:c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</x:sheetData>
  <x:conditionalFormatting sqref="F6:F53">
    <x:cfRule type="containsText" dxfId="0" priority="1" operator="containsText" text="Parziale"/>
    <x:cfRule type="containsText" dxfId="1" priority="2" operator="containsText" text="Non riscontrato"/>
  </x:conditionalFormatting>
  <x:dataValidations count="2">
    <x:dataValidation type="whole" operator="between" sqref="H6:J53">
      <x:formula1>0</x:formula1>
      <x:formula2>500</x:formula2>
    </x:dataValidation>
    <x:dataValidation type="list" sqref="G6:G5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8a5699692c4c4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31" hidden="0" customWidth="1"/>
    <x:col min="3" max="3" width="54" hidden="0" customWidth="1"/>
    <x:col min="4" max="4" width="18" hidden="0" customWidth="1"/>
    <x:col min="5" max="5" width="18" hidden="0" customWidth="1"/>
    <x:col min="6" max="6" width="38" hidden="0" customWidth="1"/>
    <x:col min="7" max="7" width="20" hidden="0" customWidth="1"/>
    <x:col min="8" max="8" width="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Milestone e decisioni di passaggio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9" t="str">
        <x:v>ID</x:v>
      </x:c>
      <x:c r="B5" s="9" t="str">
        <x:v>Consegna</x:v>
      </x:c>
      <x:c r="C5" s="9" t="str">
        <x:v>Criterio per chiudere</x:v>
      </x:c>
      <x:c r="D5" s="9" t="str">
        <x:v>Fine pieno</x:v>
      </x:c>
      <x:c r="E5" s="9" t="str">
        <x:v>Fine 2 gg</x:v>
      </x:c>
      <x:c r="F5" s="9" t="str">
        <x:v>Test/feedback</x:v>
      </x:c>
      <x:c r="G5" s="9" t="str">
        <x:v>Stato</x:v>
      </x:c>
      <x:c r="H5" s="9" t="str">
        <x:v>Decisione del referente</x:v>
      </x:c>
    </x:row>
    <x:row r="6" ht="56" customHeight="1">
      <x:c r="A6" s="11" t="str">
        <x:v>M00</x:v>
      </x:c>
      <x:c r="B6" s="11" t="str">
        <x:v>Consolidamento e baseline</x:v>
      </x:c>
      <x:c r="C6" s="11" t="str">
        <x:v>Priorità, casi pilota e versione di riferimento concordati.</x:v>
      </x:c>
      <x:c r="D6" s="17" t="n">
        <x:f>'Tempi'!I13</x:f>
        <x:v>46327</x:v>
      </x:c>
      <x:c r="E6" s="17" t="n">
        <x:f>'Tempi'!L13</x:f>
        <x:v>46362</x:v>
      </x:c>
      <x:c r="F6" s="11" t="str">
        <x:v>Demo + test di fase + registro difetti</x:v>
      </x:c>
      <x:c r="G6" s="12" t="str">
        <x:v>Da avviare</x:v>
      </x:c>
      <x:c r="H6" s="12" t="str"/>
    </x:row>
    <x:row r="7" ht="56" customHeight="1">
      <x:c r="A7" s="10" t="str">
        <x:v>M01</x:v>
      </x:c>
      <x:c r="B7" s="10" t="str">
        <x:v>Nucleo comune e interoperabilità</x:v>
      </x:c>
      <x:c r="C7" s="10" t="str">
        <x:v>Contratti dati e calcoli indipendenti dalla UI verificati.</x:v>
      </x:c>
      <x:c r="D7" s="18" t="n">
        <x:f>'Tempi'!I14</x:f>
        <x:v>46362</x:v>
      </x:c>
      <x:c r="E7" s="18" t="n">
        <x:f>'Tempi'!L14</x:f>
        <x:v>46439</x:v>
      </x:c>
      <x:c r="F7" s="10" t="str">
        <x:v>Demo + test di fase + registro difetti</x:v>
      </x:c>
      <x:c r="G7" s="12" t="str">
        <x:v>Da avviare</x:v>
      </x:c>
      <x:c r="H7" s="12" t="str"/>
    </x:row>
    <x:row r="8" ht="56" customHeight="1">
      <x:c r="A8" s="11" t="str">
        <x:v>M02</x:v>
      </x:c>
      <x:c r="B8" s="11" t="str">
        <x:v>Completamento calcestruzzo</x:v>
      </x:c>
      <x:c r="C8" s="11" t="str">
        <x:v>Sezioni generiche, punzonamento e inghisaggi nel perimetro concordato.</x:v>
      </x:c>
      <x:c r="D8" s="17" t="n">
        <x:f>'Tempi'!I15</x:f>
        <x:v>46411</x:v>
      </x:c>
      <x:c r="E8" s="17" t="n">
        <x:f>'Tempi'!L15</x:f>
        <x:v>46558</x:v>
      </x:c>
      <x:c r="F8" s="11" t="str">
        <x:v>Demo + test di fase + registro difetti</x:v>
      </x:c>
      <x:c r="G8" s="12" t="str">
        <x:v>Da avviare</x:v>
      </x:c>
      <x:c r="H8" s="12" t="str"/>
    </x:row>
    <x:row r="9" ht="56" customHeight="1">
      <x:c r="A9" s="10" t="str">
        <x:v>M03</x:v>
      </x:c>
      <x:c r="B9" s="10" t="str">
        <x:v>Completamento geotecnica</x:v>
      </x:c>
      <x:c r="C9" s="10" t="str">
        <x:v>Fondazioni e cedimenti con esempi controllati. Primo rilascio esteso.</x:v>
      </x:c>
      <x:c r="D9" s="18" t="n">
        <x:f>'Tempi'!I16</x:f>
        <x:v>46453</x:v>
      </x:c>
      <x:c r="E9" s="18" t="n">
        <x:f>'Tempi'!L16</x:f>
        <x:v>46663</x:v>
      </x:c>
      <x:c r="F9" s="10" t="str">
        <x:v>Demo + test di fase + registro difetti</x:v>
      </x:c>
      <x:c r="G9" s="12" t="str">
        <x:v>Da avviare</x:v>
      </x:c>
      <x:c r="H9" s="12" t="str"/>
    </x:row>
    <x:row r="10" ht="56" customHeight="1">
      <x:c r="A10" s="11" t="str">
        <x:v>M04</x:v>
      </x:c>
      <x:c r="B10" s="11" t="str">
        <x:v>Azioni e combinazioni</x:v>
      </x:c>
      <x:c r="C10" s="11" t="str">
        <x:v>Azioni esportabili e combinazioni coerenti e tracciabili.</x:v>
      </x:c>
      <x:c r="D10" s="17" t="n">
        <x:f>'Tempi'!I17</x:f>
        <x:v>46495</x:v>
      </x:c>
      <x:c r="E10" s="17" t="n">
        <x:f>'Tempi'!L17</x:f>
        <x:v>46761</x:v>
      </x:c>
      <x:c r="F10" s="11" t="str">
        <x:v>Demo + test di fase + registro difetti</x:v>
      </x:c>
      <x:c r="G10" s="12" t="str">
        <x:v>Da avviare</x:v>
      </x:c>
      <x:c r="H10" s="12" t="str"/>
    </x:row>
    <x:row r="11" ht="56" customHeight="1">
      <x:c r="A11" s="10" t="str">
        <x:v>M05</x:v>
      </x:c>
      <x:c r="B11" s="10" t="str">
        <x:v>Acciaio e connessioni</x:v>
      </x:c>
      <x:c r="C11" s="10" t="str">
        <x:v>Modulo acciaio autonomo e prima famiglia di collegamenti.</x:v>
      </x:c>
      <x:c r="D11" s="18" t="n">
        <x:f>'Tempi'!I18</x:f>
        <x:v>46544</x:v>
      </x:c>
      <x:c r="E11" s="18" t="n">
        <x:f>'Tempi'!L18</x:f>
        <x:v>46880</x:v>
      </x:c>
      <x:c r="F11" s="10" t="str">
        <x:v>Demo + test di fase + registro difetti</x:v>
      </x:c>
      <x:c r="G11" s="12" t="str">
        <x:v>Da avviare</x:v>
      </x:c>
      <x:c r="H11" s="12" t="str"/>
    </x:row>
    <x:row r="12" ht="56" customHeight="1">
      <x:c r="A12" s="11" t="str">
        <x:v>M06</x:v>
      </x:c>
      <x:c r="B12" s="11" t="str">
        <x:v>Misto e ponti</x:v>
      </x:c>
      <x:c r="C12" s="11" t="str">
        <x:v>Flusso ponte-sezione e predalles con fasi di costruzione.</x:v>
      </x:c>
      <x:c r="D12" s="17" t="n">
        <x:f>'Tempi'!I19</x:f>
        <x:v>46600</x:v>
      </x:c>
      <x:c r="E12" s="17" t="n">
        <x:f>'Tempi'!L19</x:f>
        <x:v>47020</x:v>
      </x:c>
      <x:c r="F12" s="11" t="str">
        <x:v>Demo + test di fase + registro difetti</x:v>
      </x:c>
      <x:c r="G12" s="12" t="str">
        <x:v>Da avviare</x:v>
      </x:c>
      <x:c r="H12" s="12" t="str"/>
    </x:row>
    <x:row r="13" ht="56" customHeight="1">
      <x:c r="A13" s="10" t="str">
        <x:v>M07</x:v>
      </x:c>
      <x:c r="B13" s="10" t="str">
        <x:v>Calcestruzzo precompresso</x:v>
      </x:c>
      <x:c r="C13" s="10" t="str">
        <x:v>CAP nelle fasi concordate, con perdite e controlli dedicati.</x:v>
      </x:c>
      <x:c r="D13" s="18" t="n">
        <x:f>'Tempi'!I20</x:f>
        <x:v>46649</x:v>
      </x:c>
      <x:c r="E13" s="18" t="n">
        <x:f>'Tempi'!L20</x:f>
        <x:v>47132</x:v>
      </x:c>
      <x:c r="F13" s="10" t="str">
        <x:v>Demo + test di fase + registro difetti</x:v>
      </x:c>
      <x:c r="G13" s="12" t="str">
        <x:v>Da avviare</x:v>
      </x:c>
      <x:c r="H13" s="12" t="str"/>
    </x:row>
    <x:row r="14" ht="56" customHeight="1">
      <x:c r="A14" s="11" t="str">
        <x:v>M08</x:v>
      </x:c>
      <x:c r="B14" s="11" t="str">
        <x:v>Rilascio integrato</x:v>
      </x:c>
      <x:c r="C14" s="11" t="str">
        <x:v>Versione integrata accettata su progetti pilota.</x:v>
      </x:c>
      <x:c r="D14" s="17" t="n">
        <x:f>'Tempi'!I21</x:f>
        <x:v>46670</x:v>
      </x:c>
      <x:c r="E14" s="17" t="n">
        <x:f>'Tempi'!L21</x:f>
        <x:v>47181</x:v>
      </x:c>
      <x:c r="F14" s="11" t="str">
        <x:v>Demo + test di fase + registro difetti</x:v>
      </x:c>
      <x:c r="G14" s="12" t="str">
        <x:v>Da avviare</x:v>
      </x:c>
      <x:c r="H14" s="12" t="str"/>
    </x:row>
    <x:row r="15" ht="56" customHeight="1">
      <x:c r="A15" s="10" t="str">
        <x:v>MB1</x:v>
      </x:c>
      <x:c r="B15" s="10" t="str">
        <x:v>Nucleo openBIM</x:v>
      </x:c>
      <x:c r="C15" s="10" t="str">
        <x:v>IFC, identificativi, requisiti dati ed esiti associati agli oggetti.</x:v>
      </x:c>
      <x:c r="D15" s="18" t="n">
        <x:f>'Tempi'!I22</x:f>
        <x:v>46705</x:v>
      </x:c>
      <x:c r="E15" s="18" t="n">
        <x:f>'Tempi'!L22</x:f>
        <x:v>47258</x:v>
      </x:c>
      <x:c r="F15" s="10" t="str">
        <x:v>Demo + test di fase + registro difetti</x:v>
      </x:c>
      <x:c r="G15" s="12" t="str">
        <x:v>Da avviare</x:v>
      </x:c>
      <x:c r="H15" s="12" t="str"/>
    </x:row>
    <x:row r="16" ht="56" customHeight="1">
      <x:c r="A16" s="11" t="str">
        <x:v>MB2</x:v>
      </x:c>
      <x:c r="B16" s="11" t="str">
        <x:v>Connettore Revit</x:v>
      </x:c>
      <x:c r="C16" s="11" t="str">
        <x:v>Pilota Revit con import e restituzione controllata.</x:v>
      </x:c>
      <x:c r="D16" s="17" t="n">
        <x:f>'Tempi'!I23</x:f>
        <x:v>46740</x:v>
      </x:c>
      <x:c r="E16" s="17" t="n">
        <x:f>'Tempi'!L23</x:f>
        <x:v>47342</x:v>
      </x:c>
      <x:c r="F16" s="11" t="str">
        <x:v>Demo + test di fase + registro difetti</x:v>
      </x:c>
      <x:c r="G16" s="12" t="str">
        <x:v>Da avviare</x:v>
      </x:c>
      <x:c r="H16" s="12" t="str"/>
    </x:row>
    <x:row r="17" ht="56" customHeight="1">
      <x:c r="A17" s="10" t="str">
        <x:v>MB3</x:v>
      </x:c>
      <x:c r="B17" s="10" t="str">
        <x:v>Connettore Tekla</x:v>
      </x:c>
      <x:c r="C17" s="10" t="str">
        <x:v>Pilota Tekla con import e restituzione controllata.</x:v>
      </x:c>
      <x:c r="D17" s="18" t="n">
        <x:f>'Tempi'!I24</x:f>
        <x:v>46775</x:v>
      </x:c>
      <x:c r="E17" s="18" t="n">
        <x:f>'Tempi'!L24</x:f>
        <x:v>47426</x:v>
      </x:c>
      <x:c r="F17" s="10" t="str">
        <x:v>Demo + test di fase + registro difetti</x:v>
      </x:c>
      <x:c r="G17" s="12" t="str">
        <x:v>Da avviare</x:v>
      </x:c>
      <x:c r="H17" s="12" t="str"/>
    </x:row>
    <x:row r="18" ht="56" customHeight="1">
      <x:c r="A18" s="11" t="str">
        <x:v>MB4</x:v>
      </x:c>
      <x:c r="B18" s="11" t="str">
        <x:v>Coordinamento BIM e consegna</x:v>
      </x:c>
      <x:c r="C18" s="11" t="str">
        <x:v>Revisioni, conflitti e feedback BIM provati nei due ambienti.</x:v>
      </x:c>
      <x:c r="D18" s="17" t="n">
        <x:f>'Tempi'!I25</x:f>
        <x:v>46810</x:v>
      </x:c>
      <x:c r="E18" s="17" t="n">
        <x:f>'Tempi'!L25</x:f>
        <x:v>47503</x:v>
      </x:c>
      <x:c r="F18" s="11" t="str">
        <x:v>Demo + test di fase + registro difetti</x:v>
      </x:c>
      <x:c r="G18" s="12" t="str">
        <x:v>Da avviare</x:v>
      </x:c>
      <x:c r="H18" s="12" t="str"/>
    </x:row>
    <x:row r="19">
      <x:c r="A19" s="2"/>
      <x:c r="B19" s="2"/>
      <x:c r="C19" s="2"/>
      <x:c r="D19" s="2"/>
      <x:c r="E19" s="2"/>
      <x:c r="F19" s="2"/>
      <x:c r="G19" s="2"/>
      <x:c r="H19" s="2"/>
    </x:row>
  </x:sheetData>
  <x:conditionalFormatting sqref="G6:G18">
    <x:cfRule type="containsText" dxfId="2" priority="1" operator="containsText" text="Parziale"/>
    <x:cfRule type="containsText" dxfId="3" priority="2" operator="containsText" text="Non riscontrato"/>
  </x:conditionalFormatting>
  <x:dataValidations count="1">
    <x:dataValidation type="list" sqref="G6:G18">
      <x:formula1>"Da avviare,In corso,In revisione,Accettata,Riaperta"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28" hidden="0" customWidth="1"/>
    <x:col min="5" max="5" width="65" hidden="0" customWidth="1"/>
    <x:col min="6" max="6" width="66" hidden="0" customWidth="1"/>
    <x:col min="7" max="7" width="50" hidden="0" customWidth="1"/>
    <x:col min="8" max="8" width="29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Piano dei test e registro del feedback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9" t="str">
        <x:v>ID</x:v>
      </x:c>
      <x:c r="B5" s="9" t="str">
        <x:v>Quando</x:v>
      </x:c>
      <x:c r="C5" s="9" t="str">
        <x:v>Chi</x:v>
      </x:c>
      <x:c r="D5" s="9" t="str">
        <x:v>Tipo</x:v>
      </x:c>
      <x:c r="E5" s="9" t="str">
        <x:v>Prova da eseguire</x:v>
      </x:c>
      <x:c r="F5" s="9" t="str">
        <x:v>Accettazione</x:v>
      </x:c>
      <x:c r="G5" s="9" t="str">
        <x:v>Evidenza</x:v>
      </x:c>
      <x:c r="H5" s="9" t="str">
        <x:v>Fasi</x:v>
      </x:c>
    </x:row>
    <x:row r="6" ht="66" customHeight="1">
      <x:c r="A6" s="11" t="str">
        <x:v>TST01</x:v>
      </x:c>
      <x:c r="B6" s="11" t="str">
        <x:v>Ogni modifica al motore</x:v>
      </x:c>
      <x:c r="C6" s="11" t="str">
        <x:v>Sviluppatore + referente tecnico</x:v>
      </x:c>
      <x:c r="D6" s="11" t="str">
        <x:v>Regressione numerica</x:v>
      </x:c>
      <x:c r="E6" s="11" t="str">
        <x:v>Casi esistenti conservati; almeno due esempi indipendenti per nuovo controllo più casi limite.</x:v>
      </x:c>
      <x:c r="F6" s="11" t="str">
        <x:v>Tolleranze definite prima del test, scarti spiegati, nessun peggioramento non approvato.</x:v>
      </x:c>
      <x:c r="G6" s="11" t="str">
        <x:v>Dati, valori attesi, versione DLL, log e confronto.</x:v>
      </x:c>
      <x:c r="H6" s="11" t="str">
        <x:v>P00; tutte le fasi</x:v>
      </x:c>
    </x:row>
    <x:row r="7" ht="66" customHeight="1">
      <x:c r="A7" s="10" t="str">
        <x:v>TST02</x:v>
      </x:c>
      <x:c r="B7" s="10" t="str">
        <x:v>Prima/dopo ottimizzazioni</x:v>
      </x:c>
      <x:c r="C7" s="10" t="str">
        <x:v>Sviluppatore</x:v>
      </x:c>
      <x:c r="D7" s="10" t="str">
        <x:v>Prestazioni e concorrenza</x:v>
      </x:c>
      <x:c r="E7" s="10" t="str">
        <x:v>Casi piccoli/medi/grandi, tre ripetizioni, tempi p50/p95, RAM, cancellazione e determinismo.</x:v>
      </x:c>
      <x:c r="F7" s="10" t="str">
        <x:v>Budget fissato con la baseline; regressione &gt;10% da spiegare; nessuna UI bloccata nei flussi concordati.</x:v>
      </x:c>
      <x:c r="G7" s="10" t="str">
        <x:v>Misure sulla stessa macchina e input.</x:v>
      </x:c>
      <x:c r="H7" s="10" t="str">
        <x:v>P00; P01; P02; B04</x:v>
      </x:c>
    </x:row>
    <x:row r="8" ht="66" customHeight="1">
      <x:c r="A8" s="11" t="str">
        <x:v>TST03</x:v>
      </x:c>
      <x:c r="B8" s="11" t="str">
        <x:v>Ogni 10 giornate di lavoro</x:v>
      </x:c>
      <x:c r="C8" s="11" t="str">
        <x:v>Utente + sviluppatore</x:v>
      </x:c>
      <x:c r="D8" s="11" t="str">
        <x:v>Demo e feedback operativo</x:v>
      </x:c>
      <x:c r="E8" s="11" t="str">
        <x:v>30–45 minuti, un caso reale, tre problemi/priorità principali. Con 5 gg/settimana: circa ogni 2 settimane; con 2 gg: circa ogni 5.</x:v>
      </x:c>
      <x:c r="F8" s="11" t="str">
        <x:v>Feedback registrato e classificato; priorità e prossimo obiettivo concordati.</x:v>
      </x:c>
      <x:c r="G8" s="11" t="str">
        <x:v>Registro feedback con responsabile, decisione e criterio di chiusura.</x:v>
      </x:c>
      <x:c r="H8" s="11" t="str">
        <x:v>Tutte le fasi</x:v>
      </x:c>
    </x:row>
    <x:row r="9" ht="66" customHeight="1">
      <x:c r="A9" s="10" t="str">
        <x:v>TST04</x:v>
      </x:c>
      <x:c r="B9" s="10" t="str">
        <x:v>A ogni modifica UI/report</x:v>
      </x:c>
      <x:c r="C9" s="10" t="str">
        <x:v>Sviluppatore + utente</x:v>
      </x:c>
      <x:c r="D9" s="10" t="str">
        <x:v>Leggibilità e correttezza visiva</x:v>
      </x:c>
      <x:c r="E9" s="10" t="str">
        <x:v>Segni, unità, selettori, contour, viste, schermate piccole e report completi/short.</x:v>
      </x:c>
      <x:c r="F9" s="10" t="str">
        <x:v>Vista coerente con opzione; nessun dato tagliato; esito coerente con risultati numerici.</x:v>
      </x:c>
      <x:c r="G9" s="10" t="str">
        <x:v>Schermate e PDF controllati.</x:v>
      </x:c>
      <x:c r="H9" s="10" t="str">
        <x:v>P00; P02; tutte le UI</x:v>
      </x:c>
    </x:row>
    <x:row r="10" ht="66" customHeight="1">
      <x:c r="A10" s="11" t="str">
        <x:v>TST05</x:v>
      </x:c>
      <x:c r="B10" s="11" t="str">
        <x:v>Ogni modifica contratti/archivio</x:v>
      </x:c>
      <x:c r="C10" s="11" t="str">
        <x:v>Sviluppatore</x:v>
      </x:c>
      <x:c r="D10" s="11" t="str">
        <x:v>Dati e compatibilità</x:v>
      </x:c>
      <x:c r="E10" s="11" t="str">
        <x:v>Salva-riapri, versioni vecchie, unità, duplicati, condivisione, invalidazione e batch.</x:v>
      </x:c>
      <x:c r="F10" s="11" t="str">
        <x:v>Nessuna perdita silenziosa; errori localizzati; risultati obsoleti bloccati.</x:v>
      </x:c>
      <x:c r="G10" s="11" t="str">
        <x:v>Archivio prima/dopo e confronto strutturato.</x:v>
      </x:c>
      <x:c r="H10" s="11" t="str">
        <x:v>P01; ogni rilascio</x:v>
      </x:c>
    </x:row>
    <x:row r="11" ht="66" customHeight="1">
      <x:c r="A11" s="10" t="str">
        <x:v>TST06</x:v>
      </x:c>
      <x:c r="B11" s="10" t="str">
        <x:v>Prima di M02</x:v>
      </x:c>
      <x:c r="C11" s="10" t="str">
        <x:v>Tecnico strutturista + sviluppatore</x:v>
      </x:c>
      <x:c r="D11" s="10" t="str">
        <x:v>Calcestruzzo</x:v>
      </x:c>
      <x:c r="E11" s="10" t="str">
        <x:v>NMM, fori, tensione totale, taglio/torsione, dettagli, punzonamento, inghisaggi.</x:v>
      </x:c>
      <x:c r="F11" s="10" t="str">
        <x:v>Esempi ripercorribili; campi fuori modello espliciti; dettaglio applicato ricalcolato.</x:v>
      </x:c>
      <x:c r="G11" s="10" t="str">
        <x:v>Schede di confronto e progetto pilota.</x:v>
      </x:c>
      <x:c r="H11" s="10" t="str">
        <x:v>P02</x:v>
      </x:c>
    </x:row>
    <x:row r="12" ht="66" customHeight="1">
      <x:c r="A12" s="11" t="str">
        <x:v>TST07</x:v>
      </x:c>
      <x:c r="B12" s="11" t="str">
        <x:v>Prima di M03</x:v>
      </x:c>
      <x:c r="C12" s="11" t="str">
        <x:v>Referente geotecnico + sviluppatore</x:v>
      </x:c>
      <x:c r="D12" s="11" t="str">
        <x:v>Geotecnica</x:v>
      </x:c>
      <x:c r="E12" s="11" t="str">
        <x:v>Portanza/cedimenti, falda, stratigrafie, molle, gruppo, vincoli e tratti armati.</x:v>
      </x:c>
      <x:c r="F12" s="11" t="str">
        <x:v>Equilibrio, unità e convergenza controllati; limiti del modello leggibili.</x:v>
      </x:c>
      <x:c r="G12" s="11" t="str">
        <x:v>Confronti manuali/letteratura e sensibilità.</x:v>
      </x:c>
      <x:c r="H12" s="11" t="str">
        <x:v>P03</x:v>
      </x:c>
    </x:row>
    <x:row r="13" ht="66" customHeight="1">
      <x:c r="A13" s="10" t="str">
        <x:v>TST08</x:v>
      </x:c>
      <x:c r="B13" s="10" t="str">
        <x:v>Prima di M04</x:v>
      </x:c>
      <x:c r="C13" s="10" t="str">
        <x:v>Tecnico + sviluppatore</x:v>
      </x:c>
      <x:c r="D13" s="10" t="str">
        <x:v>Azioni e combinazioni</x:v>
      </x:c>
      <x:c r="E13" s="10" t="str">
        <x:v>Segni, gruppi esclusivi, posizioni mobili, duplicati, estremi e concomitanza.</x:v>
      </x:c>
      <x:c r="F13" s="10" t="str">
        <x:v>Conteggio combinazioni e massimi riproducibili su schemi semplici.</x:v>
      </x:c>
      <x:c r="G13" s="10" t="str">
        <x:v>Elenco carichi/combinazioni e confronto indipendente.</x:v>
      </x:c>
      <x:c r="H13" s="10" t="str">
        <x:v>P04</x:v>
      </x:c>
    </x:row>
    <x:row r="14" ht="66" customHeight="1">
      <x:c r="A14" s="11" t="str">
        <x:v>TST09</x:v>
      </x:c>
      <x:c r="B14" s="11" t="str">
        <x:v>Prima di M05</x:v>
      </x:c>
      <x:c r="C14" s="11" t="str">
        <x:v>Tecnico acciaio + sviluppatore</x:v>
      </x:c>
      <x:c r="D14" s="11" t="str">
        <x:v>Acciaio</x:v>
      </x:c>
      <x:c r="E14" s="11" t="str">
        <x:v>Classi 1–4, instabilità, pannelli, giunti, bulloni e saldature.</x:v>
      </x:c>
      <x:c r="F14" s="11" t="str">
        <x:v>Nessuna modalità di rottura applicabile omessa; almeno due esempi per controllo.</x:v>
      </x:c>
      <x:c r="G14" s="11" t="str">
        <x:v>Schede benchmark e distinta geometrica.</x:v>
      </x:c>
      <x:c r="H14" s="11" t="str">
        <x:v>P05</x:v>
      </x:c>
    </x:row>
    <x:row r="15" ht="66" customHeight="1">
      <x:c r="A15" s="10" t="str">
        <x:v>TST10</x:v>
      </x:c>
      <x:c r="B15" s="10" t="str">
        <x:v>Prima di M06</x:v>
      </x:c>
      <x:c r="C15" s="10" t="str">
        <x:v>Tecnico ponti + sviluppatore</x:v>
      </x:c>
      <x:c r="D15" s="10" t="str">
        <x:v>Misto e ponti</x:v>
      </x:c>
      <x:c r="E15" s="10" t="str">
        <x:v>Fasi, creep/ritiro, efficacia, travata, predalle, connettori e fatica concordata.</x:v>
      </x:c>
      <x:c r="F15" s="10" t="str">
        <x:v>Fasi e azioni locali tracciate; nessun esito trasferito fuori dal campo del metodo.</x:v>
      </x:c>
      <x:c r="G15" s="10" t="str">
        <x:v>Ponte campione e tre sezioni rappresentative.</x:v>
      </x:c>
      <x:c r="H15" s="10" t="str">
        <x:v>P06</x:v>
      </x:c>
    </x:row>
    <x:row r="16" ht="66" customHeight="1">
      <x:c r="A16" s="11" t="str">
        <x:v>TST11</x:v>
      </x:c>
      <x:c r="B16" s="11" t="str">
        <x:v>Prima di M07</x:v>
      </x:c>
      <x:c r="C16" s="11" t="str">
        <x:v>Tecnico CAP + sviluppatore</x:v>
      </x:c>
      <x:c r="D16" s="11" t="str">
        <x:v>Precompressione</x:v>
      </x:c>
      <x:c r="E16" s="11" t="str">
        <x:v>Perdite, cavi, tensionamento, SLE/SLU e taglio.</x:v>
      </x:c>
      <x:c r="F16" s="11" t="str">
        <x:v>Bilancio della precompressione e segni corretti; casi indipendenti concordati.</x:v>
      </x:c>
      <x:c r="G16" s="11" t="str">
        <x:v>Trave pilota e tabella delle fasi.</x:v>
      </x:c>
      <x:c r="H16" s="11" t="str">
        <x:v>P07</x:v>
      </x:c>
    </x:row>
    <x:row r="17" ht="66" customHeight="1">
      <x:c r="A17" s="10" t="str">
        <x:v>TST12</x:v>
      </x:c>
      <x:c r="B17" s="10" t="str">
        <x:v>Prima di M08</x:v>
      </x:c>
      <x:c r="C17" s="10" t="str">
        <x:v>Utente + sviluppatore</x:v>
      </x:c>
      <x:c r="D17" s="10" t="str">
        <x:v>Accettazione del rilascio</x:v>
      </x:c>
      <x:c r="E17" s="10" t="str">
        <x:v>Tre progetti reali, installazione pulita, guide e report, regressioni e migrazioni.</x:v>
      </x:c>
      <x:c r="F17" s="10" t="str">
        <x:v>Zero difetti bloccanti/gravi sui flussi inclusi; altri difetti esplicitamente accettati.</x:v>
      </x:c>
      <x:c r="G17" s="10" t="str">
        <x:v>Verbale di accettazione, pacchetto e backlog residuo.</x:v>
      </x:c>
      <x:c r="H17" s="10" t="str">
        <x:v>P08</x:v>
      </x:c>
    </x:row>
    <x:row r="18" ht="66" customHeight="1">
      <x:c r="A18" s="11" t="str">
        <x:v>TST13</x:v>
      </x:c>
      <x:c r="B18" s="11" t="str">
        <x:v>Prima di MB1</x:v>
      </x:c>
      <x:c r="C18" s="11" t="str">
        <x:v>Modellatore BIM + tecnico</x:v>
      </x:c>
      <x:c r="D18" s="11" t="str">
        <x:v>IFC e requisiti dati</x:v>
      </x:c>
      <x:c r="E18" s="11" t="str">
        <x:v>Modelli Revit/Tekla: GUID, unità, coordinate, sezioni, fori e materiali; requisiti mancanti.</x:v>
      </x:c>
      <x:c r="F18" s="11" t="str">
        <x:v>100% oggetti del pilota mappati o respinti con motivazione; nessuna correzione implicita.</x:v>
      </x:c>
      <x:c r="G18" s="11" t="str">
        <x:v>IFC originali, mapping, esiti IDS e segnalazioni BCF.</x:v>
      </x:c>
      <x:c r="H18" s="11" t="str">
        <x:v>B01</x:v>
      </x:c>
    </x:row>
    <x:row r="19" ht="66" customHeight="1">
      <x:c r="A19" s="10" t="str">
        <x:v>TST14</x:v>
      </x:c>
      <x:c r="B19" s="10" t="str">
        <x:v>Prima di MB2</x:v>
      </x:c>
      <x:c r="C19" s="10" t="str">
        <x:v>Modellatore Revit + tecnico</x:v>
      </x:c>
      <x:c r="D19" s="10" t="str">
        <x:v>Connettore Revit</x:v>
      </x:c>
      <x:c r="E19" s="10" t="str">
        <x:v>Fisico/analitico, parametri, barre, copia modello, cancellazione e modifica successiva.</x:v>
      </x:c>
      <x:c r="F19" s="10" t="str">
        <x:v>Round-trip concordato, quantità confrontate e rollback provato.</x:v>
      </x:c>
      <x:c r="G19" s="10" t="str">
        <x:v>Modello prima/dopo e verbale utente.</x:v>
      </x:c>
      <x:c r="H19" s="10" t="str">
        <x:v>B02</x:v>
      </x:c>
    </x:row>
    <x:row r="20" ht="66" customHeight="1">
      <x:c r="A20" s="11" t="str">
        <x:v>TST15</x:v>
      </x:c>
      <x:c r="B20" s="11" t="str">
        <x:v>Prima di MB3</x:v>
      </x:c>
      <x:c r="C20" s="11" t="str">
        <x:v>Modellatore Tekla + tecnico</x:v>
      </x:c>
      <x:c r="D20" s="11" t="str">
        <x:v>Connettore Tekla</x:v>
      </x:c>
      <x:c r="E20" s="11" t="str">
        <x:v>Profili, parti, attributi e armature; unità/orientamenti; modifica e riimport.</x:v>
      </x:c>
      <x:c r="F20" s="11" t="str">
        <x:v>Idempotenza, distinte confrontate e rollback provato.</x:v>
      </x:c>
      <x:c r="G20" s="11" t="str">
        <x:v>Modello prima/dopo e verbale utente.</x:v>
      </x:c>
      <x:c r="H20" s="11" t="str">
        <x:v>B03</x:v>
      </x:c>
    </x:row>
    <x:row r="21" ht="66" customHeight="1">
      <x:c r="A21" s="10" t="str">
        <x:v>TST16</x:v>
      </x:c>
      <x:c r="B21" s="10" t="str">
        <x:v>Prima di MB4 e a ogni aggiornamento API</x:v>
      </x:c>
      <x:c r="C21" s="10" t="str">
        <x:v>BIM coordinator + tecnico + sviluppatore</x:v>
      </x:c>
      <x:c r="D21" s="10" t="str">
        <x:v>Conflitti e interoperabilità</x:v>
      </x:c>
      <x:c r="E21" s="10" t="str">
        <x:v>Modifiche concorrenti, proprietà non possedute, revisione calcolo, BCF e report.</x:v>
      </x:c>
      <x:c r="F21" s="10" t="str">
        <x:v>Nessuna sovrascrittura silenziosa; nessun risultato marcato valido dopo modifica rilevante.</x:v>
      </x:c>
      <x:c r="G21" s="10" t="str">
        <x:v>Registro conflitti e due progetti pilota finali.</x:v>
      </x:c>
      <x:c r="H21" s="10" t="str">
        <x:v>B04</x:v>
      </x:c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 t="str">
        <x:v>Regola di chiusura: test completati, difetti prioritari risolti e decisione esplicita del referente tecnico.</x:v>
      </x:c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 ht="34" customHeight="1">
      <x:c r="A27" s="9" t="str">
        <x:v>ID feedback</x:v>
      </x:c>
      <x:c r="B27" s="9" t="str">
        <x:v>Data</x:v>
      </x:c>
      <x:c r="C27" s="9" t="str">
        <x:v>Attività / milestone</x:v>
      </x:c>
      <x:c r="D27" s="9" t="str">
        <x:v>Osservazione</x:v>
      </x:c>
      <x:c r="E27" s="9" t="str">
        <x:v>Priorità / impatto</x:v>
      </x:c>
      <x:c r="F27" s="9" t="str">
        <x:v>Decisione / responsabile</x:v>
      </x:c>
      <x:c r="G27" s="9" t="str">
        <x:v>Stato</x:v>
      </x:c>
      <x:c r="H27" s="9" t="str">
        <x:v>Criterio / data chiusura</x:v>
      </x:c>
    </x:row>
    <x:row r="28" ht="76" customHeight="1">
      <x:c r="A28" s="11" t="str">
        <x:v>FB01</x:v>
      </x:c>
      <x:c r="B28" s="14" t="str"/>
      <x:c r="C28" s="12" t="str"/>
      <x:c r="D28" s="12" t="str"/>
      <x:c r="E28" s="12" t="str"/>
      <x:c r="F28" s="12" t="str"/>
      <x:c r="G28" s="12" t="str">
        <x:v>Da esaminare</x:v>
      </x:c>
      <x:c r="H28" s="12" t="str"/>
    </x:row>
    <x:row r="29" ht="76" customHeight="1">
      <x:c r="A29" s="10" t="str">
        <x:v>FB02</x:v>
      </x:c>
      <x:c r="B29" s="14" t="str"/>
      <x:c r="C29" s="12" t="str"/>
      <x:c r="D29" s="12" t="str"/>
      <x:c r="E29" s="12" t="str"/>
      <x:c r="F29" s="12" t="str"/>
      <x:c r="G29" s="12" t="str">
        <x:v>Da esaminare</x:v>
      </x:c>
      <x:c r="H29" s="12" t="str"/>
    </x:row>
    <x:row r="30" ht="76" customHeight="1">
      <x:c r="A30" s="11" t="str">
        <x:v>FB03</x:v>
      </x:c>
      <x:c r="B30" s="14" t="str"/>
      <x:c r="C30" s="12" t="str"/>
      <x:c r="D30" s="12" t="str"/>
      <x:c r="E30" s="12" t="str"/>
      <x:c r="F30" s="12" t="str"/>
      <x:c r="G30" s="12" t="str">
        <x:v>Da esaminare</x:v>
      </x:c>
      <x:c r="H30" s="12" t="str"/>
    </x:row>
    <x:row r="31" ht="76" customHeight="1">
      <x:c r="A31" s="10" t="str">
        <x:v>FB04</x:v>
      </x:c>
      <x:c r="B31" s="14" t="str"/>
      <x:c r="C31" s="12" t="str"/>
      <x:c r="D31" s="12" t="str"/>
      <x:c r="E31" s="12" t="str"/>
      <x:c r="F31" s="12" t="str"/>
      <x:c r="G31" s="12" t="str">
        <x:v>Da esaminare</x:v>
      </x:c>
      <x:c r="H31" s="12" t="str"/>
    </x:row>
    <x:row r="32" ht="76" customHeight="1">
      <x:c r="A32" s="11" t="str">
        <x:v>FB05</x:v>
      </x:c>
      <x:c r="B32" s="14" t="str"/>
      <x:c r="C32" s="12" t="str"/>
      <x:c r="D32" s="12" t="str"/>
      <x:c r="E32" s="12" t="str"/>
      <x:c r="F32" s="12" t="str"/>
      <x:c r="G32" s="12" t="str">
        <x:v>Da esaminare</x:v>
      </x:c>
      <x:c r="H32" s="12" t="str"/>
    </x:row>
    <x:row r="33" ht="76" customHeight="1">
      <x:c r="A33" s="10" t="str">
        <x:v>FB06</x:v>
      </x:c>
      <x:c r="B33" s="14" t="str"/>
      <x:c r="C33" s="12" t="str"/>
      <x:c r="D33" s="12" t="str"/>
      <x:c r="E33" s="12" t="str"/>
      <x:c r="F33" s="12" t="str"/>
      <x:c r="G33" s="12" t="str">
        <x:v>Da esaminare</x:v>
      </x:c>
      <x:c r="H33" s="12" t="str"/>
    </x:row>
    <x:row r="34" ht="76" customHeight="1">
      <x:c r="A34" s="11" t="str">
        <x:v>FB07</x:v>
      </x:c>
      <x:c r="B34" s="14" t="str"/>
      <x:c r="C34" s="12" t="str"/>
      <x:c r="D34" s="12" t="str"/>
      <x:c r="E34" s="12" t="str"/>
      <x:c r="F34" s="12" t="str"/>
      <x:c r="G34" s="12" t="str">
        <x:v>Da esaminare</x:v>
      </x:c>
      <x:c r="H34" s="12" t="str"/>
    </x:row>
    <x:row r="35" ht="76" customHeight="1">
      <x:c r="A35" s="10" t="str">
        <x:v>FB08</x:v>
      </x:c>
      <x:c r="B35" s="14" t="str"/>
      <x:c r="C35" s="12" t="str"/>
      <x:c r="D35" s="12" t="str"/>
      <x:c r="E35" s="12" t="str"/>
      <x:c r="F35" s="12" t="str"/>
      <x:c r="G35" s="12" t="str">
        <x:v>Da esaminare</x:v>
      </x:c>
      <x:c r="H35" s="12" t="str"/>
    </x:row>
    <x:row r="36" ht="76" customHeight="1">
      <x:c r="A36" s="11" t="str">
        <x:v>FB09</x:v>
      </x:c>
      <x:c r="B36" s="14" t="str"/>
      <x:c r="C36" s="12" t="str"/>
      <x:c r="D36" s="12" t="str"/>
      <x:c r="E36" s="12" t="str"/>
      <x:c r="F36" s="12" t="str"/>
      <x:c r="G36" s="12" t="str">
        <x:v>Da esaminare</x:v>
      </x:c>
      <x:c r="H36" s="12" t="str"/>
    </x:row>
    <x:row r="37" ht="76" customHeight="1">
      <x:c r="A37" s="10" t="str">
        <x:v>FB10</x:v>
      </x:c>
      <x:c r="B37" s="14" t="str"/>
      <x:c r="C37" s="12" t="str"/>
      <x:c r="D37" s="12" t="str"/>
      <x:c r="E37" s="12" t="str"/>
      <x:c r="F37" s="12" t="str"/>
      <x:c r="G37" s="12" t="str">
        <x:v>Da esaminare</x:v>
      </x:c>
      <x:c r="H37" s="12" t="str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</x:sheetData>
  <x:dataValidations count="1">
    <x:dataValidation type="list" sqref="G28:G37">
      <x:formula1>"Da esaminare,Accettato nel piano,Da correggere,Rinviato,Chiuso"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4575fe1aba4cb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20" hidden="0" customWidth="1"/>
    <x:col min="3" max="3" width="33" hidden="0" customWidth="1"/>
    <x:col min="4" max="4" width="23" hidden="0" customWidth="1"/>
    <x:col min="5" max="5" width="70" hidden="0" customWidth="1"/>
    <x:col min="6" max="6" width="65" hidden="0" customWidth="1"/>
    <x:col min="7" max="7" width="55" hidden="0" customWidth="1"/>
    <x:col min="8" max="8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Quanto è già disponibile al 06/10/2026</x:v>
      </x:c>
      <x:c r="B2" s="2"/>
      <x:c r="C2" s="2"/>
      <x:c r="D2" s="2"/>
      <x:c r="E2" s="2"/>
      <x:c r="F2" s="2"/>
      <x:c r="G2" s="2"/>
      <x:c r="H2" s="2"/>
    </x:row>
    <x:row r="3">
      <x:c r="A3" s="4"/>
      <x:c r="B3" s="4"/>
      <x:c r="C3" s="4"/>
      <x:c r="D3" s="4"/>
      <x:c r="E3" s="4"/>
      <x:c r="F3" s="4"/>
      <x:c r="G3" s="4"/>
      <x:c r="H3" s="4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9" t="str">
        <x:v>ID</x:v>
      </x:c>
      <x:c r="B5" s="9" t="str">
        <x:v>Area</x:v>
      </x:c>
      <x:c r="C5" s="9" t="str">
        <x:v>Funzione</x:v>
      </x:c>
      <x:c r="D5" s="9" t="str">
        <x:v>Stato</x:v>
      </x:c>
      <x:c r="E5" s="9" t="str">
        <x:v>Disponibile</x:v>
      </x:c>
      <x:c r="F5" s="9" t="str">
        <x:v>Limite / seguito</x:v>
      </x:c>
      <x:c r="G5" s="9" t="str">
        <x:v>Evidenza</x:v>
      </x:c>
      <x:c r="H5" s="9" t="str">
        <x:v>Rimando</x:v>
      </x:c>
    </x:row>
    <x:row r="6" ht="62" customHeight="1">
      <x:c r="A6" s="11" t="str">
        <x:v>S01</x:v>
      </x:c>
      <x:c r="B6" s="11" t="str">
        <x:v>Progetti</x:v>
      </x:c>
      <x:c r="C6" s="11" t="str">
        <x:v>Struttura gerarchica e sottogruppi</x:v>
      </x:c>
      <x:c r="D6" s="11" t="str">
        <x:v>Presente</x:v>
      </x:c>
      <x:c r="E6" s="11" t="str">
        <x:v>Progetti, fogli, materiali/terreni condivisi, revisioni e report di ramo.</x:v>
      </x:c>
      <x:c r="F6" s="11" t="str">
        <x:v>Consolidare migrazioni e dipendenze.</x:v>
      </x:c>
      <x:c r="G6" s="11" t="str">
        <x:v>Guida pratica §Progetti; X.Core/ProjectSharedHierarchy.cs</x:v>
      </x:c>
      <x:c r="H6" s="11" t="str">
        <x:v>T05</x:v>
      </x:c>
    </x:row>
    <x:row r="7" ht="62" customHeight="1">
      <x:c r="A7" s="10" t="str">
        <x:v>S02</x:v>
      </x:c>
      <x:c r="B7" s="10" t="str">
        <x:v>Materiali</x:v>
      </x:c>
      <x:c r="C7" s="10" t="str">
        <x:v>CLS e durabilità</x:v>
      </x:c>
      <x:c r="D7" s="10" t="str">
        <x:v>Presente</x:v>
      </x:c>
      <x:c r="E7" s="10" t="str">
        <x:v>Materiali, esposizioni, copriferro e legami costitutivi modificabili.</x:v>
      </x:c>
      <x:c r="F7" s="10" t="str">
        <x:v>Estendere il catalogo senza duplicare i dati.</x:v>
      </x:c>
      <x:c r="G7" s="10" t="str">
        <x:v>ModuleCatalog; ConcreteMaterials; Materials/NtcCover</x:v>
      </x:c>
      <x:c r="H7" s="10" t="str">
        <x:v>T05</x:v>
      </x:c>
    </x:row>
    <x:row r="8" ht="62" customHeight="1">
      <x:c r="A8" s="11" t="str">
        <x:v>S03</x:v>
      </x:c>
      <x:c r="B8" s="11" t="str">
        <x:v>Materiali</x:v>
      </x:c>
      <x:c r="C8" s="11" t="str">
        <x:v>Acciaio per armature</x:v>
      </x:c>
      <x:c r="D8" s="11" t="str">
        <x:v>Presente</x:v>
      </x:c>
      <x:c r="E8" s="11" t="str">
        <x:v>Scheda dedicata e diagrammi anche per materiali di default.</x:v>
      </x:c>
      <x:c r="F8" s="11" t="str">
        <x:v>Acciaio strutturale autonomo ancora da sviluppare.</x:v>
      </x:c>
      <x:c r="G8" s="11" t="str">
        <x:v>ModuleCatalog; RebarMaterial</x:v>
      </x:c>
      <x:c r="H8" s="11" t="str">
        <x:v>T21</x:v>
      </x:c>
    </x:row>
    <x:row r="9" ht="62" customHeight="1">
      <x:c r="A9" s="10" t="str">
        <x:v>S04</x:v>
      </x:c>
      <x:c r="B9" s="10" t="str">
        <x:v>Calcestruzzo</x:v>
      </x:c>
      <x:c r="C9" s="10" t="str">
        <x:v>Geometrie e fori centrali</x:v>
      </x:c>
      <x:c r="D9" s="10" t="str">
        <x:v>Presente</x:v>
      </x:c>
      <x:c r="E9" s="10" t="str">
        <x:v>Rettangolo, T e circolare; fori centrali rettangolari/circolari; lati del cerchio configurabili.</x:v>
      </x:c>
      <x:c r="F9" s="10" t="str">
        <x:v>Contorni poligonali e fori multipli futuri.</x:v>
      </x:c>
      <x:c r="G9" s="10" t="str">
        <x:v>SezioneCA; SectionGeometry</x:v>
      </x:c>
      <x:c r="H9" s="10" t="str">
        <x:v>T08</x:v>
      </x:c>
    </x:row>
    <x:row r="10" ht="62" customHeight="1">
      <x:c r="A10" s="11" t="str">
        <x:v>S05</x:v>
      </x:c>
      <x:c r="B10" s="11" t="str">
        <x:v>Calcestruzzo</x:v>
      </x:c>
      <x:c r="C10" s="11" t="str">
        <x:v>Domini e resistenze NMM</x:v>
      </x:c>
      <x:c r="D10" s="11" t="str">
        <x:v>Presente</x:v>
      </x:c>
      <x:c r="E10" s="11" t="str">
        <x:v>2D/3D, SLU/SLV, punto resistente, piani deformativi e tensioni.</x:v>
      </x:c>
      <x:c r="F10" s="11" t="str">
        <x:v>Consolidare casi limite e convenzioni.</x:v>
      </x:c>
      <x:c r="G10" s="11" t="str">
        <x:v>CheckerSection; SectionMomentResistance</x:v>
      </x:c>
      <x:c r="H10" s="11" t="str">
        <x:v>T02</x:v>
      </x:c>
    </x:row>
    <x:row r="11" ht="62" customHeight="1">
      <x:c r="A11" s="10" t="str">
        <x:v>S06</x:v>
      </x:c>
      <x:c r="B11" s="10" t="str">
        <x:v>Calcestruzzo</x:v>
      </x:c>
      <x:c r="C11" s="10" t="str">
        <x:v>SLE e fessurazione</x:v>
      </x:c>
      <x:c r="D11" s="10" t="str">
        <x:v>Presente</x:v>
      </x:c>
      <x:c r="E11" s="10" t="str">
        <x:v>Tensioni, fessurazione, aree efficaci e tracce nel perimetro CA documentato.</x:v>
      </x:c>
      <x:c r="F11" s="10" t="str">
        <x:v>CAP e fessurazione non lineare non considerati coperti.</x:v>
      </x:c>
      <x:c r="G11" s="10" t="str">
        <x:v>Ntc2018Checks; ConcreteTensionCracking</x:v>
      </x:c>
      <x:c r="H11" s="10" t="str">
        <x:v>T32; O01</x:v>
      </x:c>
    </x:row>
    <x:row r="12" ht="62" customHeight="1">
      <x:c r="A12" s="11" t="str">
        <x:v>S07</x:v>
      </x:c>
      <x:c r="B12" s="11" t="str">
        <x:v>Calcestruzzo</x:v>
      </x:c>
      <x:c r="C12" s="11" t="str">
        <x:v>Taglio e torsione</x:v>
      </x:c>
      <x:c r="D12" s="11" t="str">
        <x:v>Presente con limiti</x:v>
      </x:c>
      <x:c r="E12" s="11" t="str">
        <x:v>Due direzioni, circolari con modello esplicito, torsione e interazione previste dal modulo.</x:v>
      </x:c>
      <x:c r="F12" s="11" t="str">
        <x:v>Taglio CAP e spirali dei pali da completare.</x:v>
      </x:c>
      <x:c r="G12" s="11" t="str">
        <x:v>ConcreteShearAnalysis; ConcreteTorsion</x:v>
      </x:c>
      <x:c r="H12" s="11" t="str">
        <x:v>T16; T32</x:v>
      </x:c>
    </x:row>
    <x:row r="13" ht="62" customHeight="1">
      <x:c r="A13" s="10" t="str">
        <x:v>S08</x:v>
      </x:c>
      <x:c r="B13" s="10" t="str">
        <x:v>Calcestruzzo</x:v>
      </x:c>
      <x:c r="C13" s="10" t="str">
        <x:v>Dettagli, ancoraggi, M-curvatura</x:v>
      </x:c>
      <x:c r="D13" s="10" t="str">
        <x:v>Presente</x:v>
      </x:c>
      <x:c r="E13" s="10" t="str">
        <x:v>Dettagli per elemento, ancoraggi/sovrapposizioni, curve M-curvatura.</x:v>
      </x:c>
      <x:c r="F13" s="10" t="str">
        <x:v>Unificare riuso e dettagli esecutivi fra moduli.</x:v>
      </x:c>
      <x:c r="G13" s="10" t="str">
        <x:v>ConcreteDetailingAnalysis; ConcreteBond; ConcreteCurvatureAnalysis</x:v>
      </x:c>
      <x:c r="H13" s="10" t="str">
        <x:v>T09</x:v>
      </x:c>
    </x:row>
    <x:row r="14" ht="62" customHeight="1">
      <x:c r="A14" s="11" t="str">
        <x:v>S09</x:v>
      </x:c>
      <x:c r="B14" s="11" t="str">
        <x:v>Calcestruzzo</x:v>
      </x:c>
      <x:c r="C14" s="11" t="str">
        <x:v>Ottimizzazione armature</x:v>
      </x:c>
      <x:c r="D14" s="11" t="str">
        <x:v>Presente</x:v>
      </x:c>
      <x:c r="E14" s="11" t="str">
        <x:v>Longitudinale, ortogonale e staffe, alternative, obiettivi e controlli preventivi.</x:v>
      </x:c>
      <x:c r="F14" s="11" t="str">
        <x:v>Misurare prestazioni e robustezza su casi reali.</x:v>
      </x:c>
      <x:c r="G14" s="11" t="str">
        <x:v>ConcreteReinforcementDesign; suite Checks</x:v>
      </x:c>
      <x:c r="H14" s="11" t="str">
        <x:v>T12</x:v>
      </x:c>
    </x:row>
    <x:row r="15" ht="62" customHeight="1">
      <x:c r="A15" s="10" t="str">
        <x:v>S10</x:v>
      </x:c>
      <x:c r="B15" s="10" t="str">
        <x:v>Calcestruzzo</x:v>
      </x:c>
      <x:c r="C15" s="10" t="str">
        <x:v>Report short</x:v>
      </x:c>
      <x:c r="D15" s="10" t="str">
        <x:v>Presente</x:v>
      </x:c>
      <x:c r="E15" s="10" t="str">
        <x:v>Word/PDF entro due pagine, sette verifiche governanti, esiti incompleti distinti.</x:v>
      </x:c>
      <x:c r="F15" s="10" t="str">
        <x:v>Richiede Word; verificare con casi estesi.</x:v>
      </x:c>
      <x:c r="G15" s="10" t="str">
        <x:v>ReportConcreteShort; ConcreteShort.Checks</x:v>
      </x:c>
      <x:c r="H15" s="10" t="str">
        <x:v>T03</x:v>
      </x:c>
    </x:row>
    <x:row r="16" ht="62" customHeight="1">
      <x:c r="A16" s="11" t="str">
        <x:v>S11</x:v>
      </x:c>
      <x:c r="B16" s="11" t="str">
        <x:v>Geotecnica</x:v>
      </x:c>
      <x:c r="C16" s="11" t="str">
        <x:v>Pali e micropali verticali</x:v>
      </x:c>
      <x:c r="D16" s="11" t="str">
        <x:v>Presente</x:v>
      </x:c>
      <x:c r="E16" s="11" t="str">
        <x:v>Capacità assiale, stratigrafie, falda, coefficienti e abachi previsti.</x:v>
      </x:c>
      <x:c r="F16" s="11" t="str">
        <x:v>Cedimenti e molle assiali dedicati futuri.</x:v>
      </x:c>
      <x:c r="G16" s="11" t="str">
        <x:v>ModuleCatalog; Calcolo; Micropali</x:v>
      </x:c>
      <x:c r="H16" s="11" t="str">
        <x:v>T15</x:v>
      </x:c>
    </x:row>
    <x:row r="17" ht="62" customHeight="1">
      <x:c r="A17" s="10" t="str">
        <x:v>S12</x:v>
      </x:c>
      <x:c r="B17" s="10" t="str">
        <x:v>Geotecnica</x:v>
      </x:c>
      <x:c r="C17" s="10" t="str">
        <x:v>Capacità orizzontale</x:v>
      </x:c>
      <x:c r="D17" s="10" t="str">
        <x:v>Presente</x:v>
      </x:c>
      <x:c r="E17" s="10" t="str">
        <x:v>Pali/micropali con Broms e sezione CHS; limiti dichiarati.</x:v>
      </x:c>
      <x:c r="F17" s="10" t="str">
        <x:v>Non equivale a risposta p-y non lineare.</x:v>
      </x:c>
      <x:c r="G17" s="10" t="str">
        <x:v>PaloOrizzontale; MicropaloOrizzontale</x:v>
      </x:c>
      <x:c r="H17" s="10" t="str">
        <x:v>O02</x:v>
      </x:c>
    </x:row>
    <x:row r="18" ht="62" customHeight="1">
      <x:c r="A18" s="11" t="str">
        <x:v>S13</x:v>
      </x:c>
      <x:c r="B18" s="11" t="str">
        <x:v>Geotecnica</x:v>
      </x:c>
      <x:c r="C18" s="11" t="str">
        <x:v>Palo elastico e armature</x:v>
      </x:c>
      <x:c r="D18" s="11" t="str">
        <x:v>Presente con limiti</x:v>
      </x:c>
      <x:c r="E18" s="11" t="str">
        <x:v>Risposta elastica stratificata, tratti, verifiche e dettagli sismici di testa.</x:v>
      </x:c>
      <x:c r="F18" s="11" t="str">
        <x:v>Esclusi p-y, ciclicità, secondo ordine e nodo palo-plinto completo.</x:v>
      </x:c>
      <x:c r="G18" s="11" t="str">
        <x:v>ElasticHorizontalPile; guida pratica §Risposta elastica</x:v>
      </x:c>
      <x:c r="H18" s="11" t="str">
        <x:v>T16; O02</x:v>
      </x:c>
    </x:row>
    <x:row r="19" ht="62" customHeight="1">
      <x:c r="A19" s="10" t="str">
        <x:v>S14</x:v>
      </x:c>
      <x:c r="B19" s="10" t="str">
        <x:v>Geotecnica</x:v>
      </x:c>
      <x:c r="C19" s="10" t="str">
        <x:v>Palificata orizzontale</x:v>
      </x:c>
      <x:c r="D19" s="10" t="str">
        <x:v>Presente con limiti</x:v>
      </x:c>
      <x:c r="E19" s="10" t="str">
        <x:v>Efficienza di gruppo con sei teorie.</x:v>
      </x:c>
      <x:c r="F19" s="10" t="str">
        <x:v>Non è soluzione strutturale completa del gruppo.</x:v>
      </x:c>
      <x:c r="G19" s="10" t="str">
        <x:v>HorizontalPileGroup; ModuleCatalog</x:v>
      </x:c>
      <x:c r="H19" s="10" t="str">
        <x:v>O02</x:v>
      </x:c>
    </x:row>
    <x:row r="20" ht="62" customHeight="1">
      <x:c r="A20" s="11" t="str">
        <x:v>S15</x:v>
      </x:c>
      <x:c r="B20" s="11" t="str">
        <x:v>Geotecnica</x:v>
      </x:c>
      <x:c r="C20" s="11" t="str">
        <x:v>Muri di sostegno</x:v>
      </x:c>
      <x:c r="D20" s="11" t="str">
        <x:v>Presente con limiti</x:v>
      </x:c>
      <x:c r="E20" s="11" t="str">
        <x:v>Spinte, verifiche locali/globali, portanza/cedimenti, armature e distinte.</x:v>
      </x:c>
      <x:c r="F20" s="11" t="str">
        <x:v>Fondazioni superficiali autonome da estrarre/consolidare.</x:v>
      </x:c>
      <x:c r="G20" s="11" t="str">
        <x:v>RetainingWall; guide Rev30</x:v>
      </x:c>
      <x:c r="H20" s="11" t="str">
        <x:v>T13; T14; T16</x:v>
      </x:c>
    </x:row>
    <x:row r="21" ht="62" customHeight="1">
      <x:c r="A21" s="10" t="str">
        <x:v>S16</x:v>
      </x:c>
      <x:c r="B21" s="10" t="str">
        <x:v>Misto</x:v>
      </x:c>
      <x:c r="C21" s="10" t="str">
        <x:v>Sezione composta da ponte</x:v>
      </x:c>
      <x:c r="D21" s="10" t="str">
        <x:v>Presente con limiti</x:v>
      </x:c>
      <x:c r="E21" s="10" t="str">
        <x:v>Classe 4, fasi, cumulativo e storici, curve di risposta e controlli locali.</x:v>
      </x:c>
      <x:c r="F21" s="10" t="str">
        <x:v>Copertura diversa tra metodi; non è analisi globale dell’intero ponte.</x:v>
      </x:c>
      <x:c r="G21" s="10" t="str">
        <x:v>BridgeSection; guida §Sezione composta</x:v>
      </x:c>
      <x:c r="H21" s="10" t="str">
        <x:v>T25; T26</x:v>
      </x:c>
    </x:row>
    <x:row r="22" ht="62" customHeight="1">
      <x:c r="A22" s="11" t="str">
        <x:v>S17</x:v>
      </x:c>
      <x:c r="B22" s="11" t="str">
        <x:v>Misto</x:v>
      </x:c>
      <x:c r="C22" s="11" t="str">
        <x:v>Predalle</x:v>
      </x:c>
      <x:c r="D22" s="11" t="str">
        <x:v>Parziale</x:v>
      </x:c>
      <x:c r="E22" s="11" t="str">
        <x:v>Riferimento geometrico della soletta.</x:v>
      </x:c>
      <x:c r="F22" s="11" t="str">
        <x:v>Nessun materiale/fase/verifica autonomi della predalle.</x:v>
      </x:c>
      <x:c r="G22" s="11" t="str">
        <x:v>BridgeSection.SlabLayout: PredalleScope</x:v>
      </x:c>
      <x:c r="H22" s="11" t="str">
        <x:v>T27</x:v>
      </x:c>
    </x:row>
    <x:row r="23" ht="62" customHeight="1">
      <x:c r="A23" s="10" t="str">
        <x:v>S18</x:v>
      </x:c>
      <x:c r="B23" s="10" t="str">
        <x:v>Ponti</x:v>
      </x:c>
      <x:c r="C23" s="10" t="str">
        <x:v>Bridge Design</x:v>
      </x:c>
      <x:c r="D23" s="10" t="str">
        <x:v>Presente con limiti</x:v>
      </x:c>
      <x:c r="E23" s="10" t="str">
        <x:v>Predimensionamento, alternative, quantità, costi e CO₂.</x:v>
      </x:c>
      <x:c r="F23" s="10" t="str">
        <x:v>Trasferimento a modello verificato non automatico.</x:v>
      </x:c>
      <x:c r="G23" s="10" t="str">
        <x:v>BridgeConcept; guida §Bridge Design</x:v>
      </x:c>
      <x:c r="H23" s="10" t="str">
        <x:v>T26; T29</x:v>
      </x:c>
    </x:row>
    <x:row r="24" ht="62" customHeight="1">
      <x:c r="A24" s="11" t="str">
        <x:v>S19</x:v>
      </x:c>
      <x:c r="B24" s="11" t="str">
        <x:v>CAP</x:v>
      </x:c>
      <x:c r="C24" s="11" t="str">
        <x:v>Trefoli in sezione</x:v>
      </x:c>
      <x:c r="D24" s="11" t="str">
        <x:v>Parziale</x:v>
      </x:c>
      <x:c r="E24" s="11" t="str">
        <x:v>Trefoli e predeformazioni previste dal motore sezionale.</x:v>
      </x:c>
      <x:c r="F24" s="11" t="str">
        <x:v>Perdite, taglio e fessurazione CAP completi non disponibili.</x:v>
      </x:c>
      <x:c r="G24" s="11" t="str">
        <x:v>CheckerSection; Ntc2018Checks; ConcreteShearAnalysis</x:v>
      </x:c>
      <x:c r="H24" s="11" t="str">
        <x:v>T30–T33</x:v>
      </x:c>
    </x:row>
    <x:row r="25" ht="62" customHeight="1">
      <x:c r="A25" s="10" t="str">
        <x:v>S20</x:v>
      </x:c>
      <x:c r="B25" s="10" t="str">
        <x:v>Acciaio</x:v>
      </x:c>
      <x:c r="C25" s="10" t="str">
        <x:v>Modulo autonomo e connessioni</x:v>
      </x:c>
      <x:c r="D25" s="10" t="str">
        <x:v>Non riscontrato</x:v>
      </x:c>
      <x:c r="E25" s="10" t="str">
        <x:v>Proprietà e controlli riutilizzabili nel motore ponti.</x:v>
      </x:c>
      <x:c r="F25" s="10" t="str">
        <x:v>Non confondere la presenza di librerie con un modulo operativo completo.</x:v>
      </x:c>
      <x:c r="G25" s="10" t="str">
        <x:v>ModuleCatalog; BridgeSection</x:v>
      </x:c>
      <x:c r="H25" s="10" t="str">
        <x:v>T21–T24</x:v>
      </x:c>
    </x:row>
    <x:row r="26" ht="62" customHeight="1">
      <x:c r="A26" s="11" t="str">
        <x:v>S21</x:v>
      </x:c>
      <x:c r="B26" s="11" t="str">
        <x:v>Azioni</x:v>
      </x:c>
      <x:c r="C26" s="11" t="str">
        <x:v>Vento, neve, temperatura, traffico</x:v>
      </x:c>
      <x:c r="D26" s="11" t="str">
        <x:v>Non completo</x:v>
      </x:c>
      <x:c r="E26" s="11" t="str">
        <x:v>Import azioni e funzioni specifiche nei ponti.</x:v>
      </x:c>
      <x:c r="F26" s="11" t="str">
        <x:v>Manca una suite autonoma unificata di generazione e combinazione.</x:v>
      </x:c>
      <x:c r="G26" s="11" t="str">
        <x:v>ModuleCatalog; SectionActionsExcel</x:v>
      </x:c>
      <x:c r="H26" s="11" t="str">
        <x:v>T17–T20</x:v>
      </x:c>
    </x:row>
    <x:row r="27" ht="62" customHeight="1">
      <x:c r="A27" s="10" t="str">
        <x:v>S22</x:v>
      </x:c>
      <x:c r="B27" s="10" t="str">
        <x:v>Qualità</x:v>
      </x:c>
      <x:c r="C27" s="10" t="str">
        <x:v>Guide, Wiki, test e distribuzione</x:v>
      </x:c>
      <x:c r="D27" s="10" t="str">
        <x:v>Presente</x:v>
      </x:c>
      <x:c r="E27" s="10" t="str">
        <x:v>Due guide globali Rev30, Wiki, esempi, test e installer.</x:v>
      </x:c>
      <x:c r="F27" s="10" t="str">
        <x:v>Questa ricognizione non riesegue tutte le suite né dichiara una nuova validazione.</x:v>
      </x:c>
      <x:c r="G27" s="10" t="str">
        <x:v>supporto/README; supporto/test; supporto/installer</x:v>
      </x:c>
      <x:c r="H27" s="10" t="str">
        <x:v>T01–T03; T34–T36</x:v>
      </x:c>
    </x:row>
    <x:row r="28" ht="62" customHeight="1">
      <x:c r="A28" s="11" t="str">
        <x:v>S23</x:v>
      </x:c>
      <x:c r="B28" s="11" t="str">
        <x:v>BIM</x:v>
      </x:c>
      <x:c r="C28" s="11" t="str">
        <x:v>IFC, Revit e Tekla</x:v>
      </x:c>
      <x:c r="D28" s="11" t="str">
        <x:v>Non riscontrato</x:v>
      </x:c>
      <x:c r="E28" s="11" t="str">
        <x:v>Dati e revisioni del progetto riutilizzabili come base.</x:v>
      </x:c>
      <x:c r="F28" s="11" t="str">
        <x:v>Connettori e flusso BIM sono proposte future.</x:v>
      </x:c>
      <x:c r="G28" s="11" t="str">
        <x:v>ModuleCatalog; ricognizione sorgenti</x:v>
      </x:c>
      <x:c r="H28" s="11" t="str">
        <x:v>T37–T48</x:v>
      </x:c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</x:sheetData>
  <x:conditionalFormatting sqref="D6:D28">
    <x:cfRule type="containsText" dxfId="4" priority="1" operator="containsText" text="Parziale"/>
    <x:cfRule type="containsText" dxfId="5" priority="2" operator="containsText" text="Non riscontrato"/>
  </x:conditionalFormatting>
  <x:pageMargins left="0.7" right="0.7" top="0.75" bottom="0.75" header="0.3" footer="0.3"/>
  <x:tableParts count="1">
    <x:tablePart xmlns:r="http://schemas.openxmlformats.org/officeDocument/2006/relationships" r:id="R12fed70ddeaf462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2" hidden="0" customWidth="1"/>
    <x:col min="3" max="3" width="38" hidden="0" customWidth="1"/>
    <x:col min="4" max="4" width="102" hidden="0" customWidth="1"/>
    <x:col min="5" max="5" width="22" hidden="0" customWidth="1"/>
    <x:col min="6" max="6" width="35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Proposta BIM · openBIM, Revit e Tekla</x:v>
      </x:c>
      <x:c r="B2" s="2"/>
      <x:c r="C2" s="2"/>
      <x:c r="D2" s="2"/>
      <x:c r="E2" s="2"/>
      <x:c r="F2" s="2"/>
    </x:row>
    <x:row r="3">
      <x:c r="A3" s="4"/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4" customHeight="1">
      <x:c r="A5" s="9" t="str">
        <x:v>ID</x:v>
      </x:c>
      <x:c r="B5" s="9" t="str">
        <x:v>Tema</x:v>
      </x:c>
      <x:c r="C5" s="9" t="str">
        <x:v>Scelta proposta</x:v>
      </x:c>
      <x:c r="D5" s="9" t="str">
        <x:v>Implementazione / limite</x:v>
      </x:c>
      <x:c r="E5" s="9" t="str">
        <x:v>Attività</x:v>
      </x:c>
      <x:c r="F5" s="9" t="str">
        <x:v>Fonte</x:v>
      </x:c>
    </x:row>
    <x:row r="6" ht="66" customHeight="1">
      <x:c r="A6" s="11" t="str">
        <x:v>BIM01</x:v>
      </x:c>
      <x:c r="B6" s="11" t="str">
        <x:v>Architettura</x:v>
      </x:c>
      <x:c r="C6" s="11" t="str">
        <x:v>Nucleo comune + due adattatori</x:v>
      </x:c>
      <x:c r="D6" s="11" t="str">
        <x:v>ANTHEA mantiene dati di calcolo, ipotesi, esiti e revisioni. Revit e Tekla mantengono il modello costruttivo secondo una matrice di responsabilità. IFC scambia dati neutri.</x:v>
      </x:c>
      <x:c r="E6" s="11" t="str">
        <x:v>T37</x:v>
      </x:c>
      <x:c r="F6" s="11" t="str">
        <x:v>Proposta ANTHEA</x:v>
      </x:c>
    </x:row>
    <x:row r="7" ht="66" customHeight="1">
      <x:c r="A7" s="10" t="str">
        <x:v>BIM02</x:v>
      </x:c>
      <x:c r="B7" s="10" t="str">
        <x:v>Identità</x:v>
      </x:c>
      <x:c r="C7" s="10" t="str">
        <x:v>Mappa persistente degli oggetti</x:v>
      </x:c>
      <x:c r="D7" s="10" t="str">
        <x:v>GUID IFC + ID nativo + ID ANTHEA + revisione/hash dei dati. Gestire copie, cancellazioni e fusioni senza affidarsi al solo nome.</x:v>
      </x:c>
      <x:c r="E7" s="10" t="str">
        <x:v>T37; T46</x:v>
      </x:c>
      <x:c r="F7" s="10" t="str">
        <x:v>Proposta ANTHEA</x:v>
      </x:c>
    </x:row>
    <x:row r="8" ht="66" customHeight="1">
      <x:c r="A8" s="11" t="str">
        <x:v>BIM03</x:v>
      </x:c>
      <x:c r="B8" s="11" t="str">
        <x:v>Geometria</x:v>
      </x:c>
      <x:c r="C8" s="11" t="str">
        <x:v>Fisico e analitico distinti</x:v>
      </x:c>
      <x:c r="D8" s="11" t="str">
        <x:v>Trasformazioni globali/locali, unità, orientamenti, offset e sezione resistente. In Revit verificare le associazioni fra modello fisico e analitico.</x:v>
      </x:c>
      <x:c r="E8" s="11" t="str">
        <x:v>T38; T40</x:v>
      </x:c>
      <x:c r="F8" s="11" t="str">
        <x:v>Autodesk API; IFC</x:v>
      </x:c>
    </x:row>
    <x:row r="9" ht="66" customHeight="1">
      <x:c r="A9" s="10" t="str">
        <x:v>BIM04</x:v>
      </x:c>
      <x:c r="B9" s="10" t="str">
        <x:v>Dati necessari</x:v>
      </x:c>
      <x:c r="C9" s="10" t="str">
        <x:v>Contratto prima dello scambio</x:v>
      </x:c>
      <x:c r="D9" s="10" t="str">
        <x:v>Materiale, geometria, armatura, copriferro, esposizione, riferimento azioni, metodo e versione. IDS per proprietà obbligatorie; controlli ANTHEA per coerenza meccanica.</x:v>
      </x:c>
      <x:c r="E9" s="10" t="str">
        <x:v>T37; T39</x:v>
      </x:c>
      <x:c r="F9" s="10" t="str">
        <x:v>IDS; proposta ANTHEA</x:v>
      </x:c>
    </x:row>
    <x:row r="10" ht="66" customHeight="1">
      <x:c r="A10" s="11" t="str">
        <x:v>BIM05</x:v>
      </x:c>
      <x:c r="B10" s="11" t="str">
        <x:v>Primo pilota</x:v>
      </x:c>
      <x:c r="C10" s="11" t="str">
        <x:v>Sezione CA e un elemento ripetuto</x:v>
      </x:c>
      <x:c r="D10" s="11" t="str">
        <x:v>Scegliere pilastro/palo o muro semplice con due revisioni. Prima lettura e verifica, poi restituzione controllata; estendere ai ponti dopo il pilota.</x:v>
      </x:c>
      <x:c r="E10" s="11" t="str">
        <x:v>T38–T45</x:v>
      </x:c>
      <x:c r="F10" s="11" t="str">
        <x:v>Proposta ANTHEA</x:v>
      </x:c>
    </x:row>
    <x:row r="11" ht="66" customHeight="1">
      <x:c r="A11" s="10" t="str">
        <x:v>BIM06</x:v>
      </x:c>
      <x:c r="B11" s="10" t="str">
        <x:v>Revit</x:v>
      </x:c>
      <x:c r="C11" s="10" t="str">
        <x:v>Connettore dedicato</x:v>
      </x:c>
      <x:c r="D11" s="10" t="str">
        <x:v>Seleziona elementi, mappa materiali/sezioni, apre il foglio ANTHEA; restituisce parametri, link al report e armature della prima famiglia supportata.</x:v>
      </x:c>
      <x:c r="E11" s="10" t="str">
        <x:v>T40–T42</x:v>
      </x:c>
      <x:c r="F11" s="10" t="str">
        <x:v>Autodesk Revit API</x:v>
      </x:c>
    </x:row>
    <x:row r="12" ht="66" customHeight="1">
      <x:c r="A12" s="11" t="str">
        <x:v>BIM07</x:v>
      </x:c>
      <x:c r="B12" s="11" t="str">
        <x:v>Tekla</x:v>
      </x:c>
      <x:c r="C12" s="11" t="str">
        <x:v>Connettore dedicato</x:v>
      </x:c>
      <x:c r="D12" s="11" t="str">
        <x:v>Seleziona parti e gruppi armatura, associa profili/materiali, restituisce attributi, armature e distinte confrontabili.</x:v>
      </x:c>
      <x:c r="E12" s="11" t="str">
        <x:v>T43–T45</x:v>
      </x:c>
      <x:c r="F12" s="11" t="str">
        <x:v>Tekla Open API</x:v>
      </x:c>
    </x:row>
    <x:row r="13" ht="66" customHeight="1">
      <x:c r="A13" s="10" t="str">
        <x:v>BIM08</x:v>
      </x:c>
      <x:c r="B13" s="10" t="str">
        <x:v>Conferma delle modifiche</x:v>
      </x:c>
      <x:c r="C13" s="10" t="str">
        <x:v>Anteprima e annullamento</x:v>
      </x:c>
      <x:c r="D13" s="10" t="str">
        <x:v>Mostrare geometria/armature prima e dopo, proprietà modificate e incompatibilità. Applicare solo la proposta selezionata; registrare e poter annullare.</x:v>
      </x:c>
      <x:c r="E13" s="10" t="str">
        <x:v>T41; T44; T46</x:v>
      </x:c>
      <x:c r="F13" s="10" t="str">
        <x:v>Proposta ANTHEA</x:v>
      </x:c>
    </x:row>
    <x:row r="14" ht="66" customHeight="1">
      <x:c r="A14" s="11" t="str">
        <x:v>BIM09</x:v>
      </x:c>
      <x:c r="B14" s="11" t="str">
        <x:v>Esiti nel modello</x:v>
      </x:c>
      <x:c r="C14" s="11" t="str">
        <x:v>Proprietà di verifica tracciate</x:v>
      </x:c>
      <x:c r="D14" s="11" t="str">
        <x:v>Eta, stato, famiglia, combinazione governante, revisione calcolo, versione software, data e report. Una geometria aggiornata invalida i risultati correlati.</x:v>
      </x:c>
      <x:c r="E14" s="11" t="str">
        <x:v>T39; T46</x:v>
      </x:c>
      <x:c r="F14" s="11" t="str">
        <x:v>Proposta ANTHEA</x:v>
      </x:c>
    </x:row>
    <x:row r="15" ht="66" customHeight="1">
      <x:c r="A15" s="10" t="str">
        <x:v>BIM10</x:v>
      </x:c>
      <x:c r="B15" s="10" t="str">
        <x:v>Feedback BIM</x:v>
      </x:c>
      <x:c r="C15" s="10" t="str">
        <x:v>BCF per problemi e revisioni</x:v>
      </x:c>
      <x:c r="D15" s="10" t="str">
        <x:v>Associare problema, oggetto, vista e riferimento alla verifica. Tracciare apertura, decisione, correzione e nuova verifica. BCF non sostituisce un motore di calcolo.</x:v>
      </x:c>
      <x:c r="E15" s="10" t="str">
        <x:v>T39; T47</x:v>
      </x:c>
      <x:c r="F15" s="10" t="str">
        <x:v>BCF ufficiale</x:v>
      </x:c>
    </x:row>
    <x:row r="16" ht="66" customHeight="1">
      <x:c r="A16" s="11" t="str">
        <x:v>BIM11</x:v>
      </x:c>
      <x:c r="B16" s="11" t="str">
        <x:v>IFC</x:v>
      </x:c>
      <x:c r="C16" s="11" t="str">
        <x:v>Profilo negoziato con i due software</x:v>
      </x:c>
      <x:c r="D16" s="11" t="str">
        <x:v>Valutare IFC4 e IFC4.3 per il perimetro previsto, soprattutto infrastrutture. Provare gli scambi effettivi; non presumere che ogni oggetto o proprietà sia supportato in entrambe le applicazioni.</x:v>
      </x:c>
      <x:c r="E16" s="11" t="str">
        <x:v>T37; T38</x:v>
      </x:c>
      <x:c r="F16" s="11" t="str">
        <x:v>IFC 4.3.2.0 ufficiale</x:v>
      </x:c>
    </x:row>
    <x:row r="17" ht="66" customHeight="1">
      <x:c r="A17" s="10" t="str">
        <x:v>BIM12</x:v>
      </x:c>
      <x:c r="B17" s="10" t="str">
        <x:v>Azioni</x:v>
      </x:c>
      <x:c r="C17" s="10" t="str">
        <x:v>Origine separata della domanda</x:v>
      </x:c>
      <x:c r="D17" s="10" t="str">
        <x:v>Non dedurre automaticamente N-M-V-T dalla sola geometria BIM. Importare azioni dall’analisi con ID elemento, stazione, assi, unità e combinazione.</x:v>
      </x:c>
      <x:c r="E17" s="10" t="str">
        <x:v>T06; T26; T37</x:v>
      </x:c>
      <x:c r="F17" s="10" t="str">
        <x:v>Proposta ANTHEA</x:v>
      </x:c>
    </x:row>
    <x:row r="18" ht="66" customHeight="1">
      <x:c r="A18" s="11" t="str">
        <x:v>BIM13</x:v>
      </x:c>
      <x:c r="B18" s="11" t="str">
        <x:v>Ambiente e licenze</x:v>
      </x:c>
      <x:c r="C18" s="11" t="str">
        <x:v>Versioni da concordare al kickoff BIM</x:v>
      </x:c>
      <x:c r="D18" s="11" t="str">
        <x:v>Indicare versioni Revit/Tekla, SDK, licenze di sviluppo e due modelli disponibili. Prevedere manutenzione quando cambiano le API.</x:v>
      </x:c>
      <x:c r="E18" s="11" t="str">
        <x:v>T37; T48</x:v>
      </x:c>
      <x:c r="F18" s="11" t="str">
        <x:v>Autodesk e Tekla ufficiali</x:v>
      </x:c>
    </x:row>
    <x:row r="19" ht="66" customHeight="1">
      <x:c r="A19" s="10" t="str">
        <x:v>BIM14</x:v>
      </x:c>
      <x:c r="B19" s="10" t="str">
        <x:v>Successivi ampliamenti</x:v>
      </x:c>
      <x:c r="C19" s="10" t="str">
        <x:v>Dopo accettazione MB4</x:v>
      </x:c>
      <x:c r="D19" s="10" t="str">
        <x:v>CDE/API collaborative, coordinamento multidisciplinare, quantità/costi/CO₂ collegati, ponti complessi e automazioni di disegno. Non inclusi nel pilota corrente.</x:v>
      </x:c>
      <x:c r="E19" s="10" t="str">
        <x:v>O04</x:v>
      </x:c>
      <x:c r="F19" s="10" t="str">
        <x:v>Proposta ANTHEA</x:v>
      </x:c>
    </x:row>
    <x:row r="20">
      <x:c r="A20" s="2"/>
      <x:c r="B20" s="2"/>
      <x:c r="C20" s="2"/>
      <x:c r="D20" s="2"/>
      <x:c r="E20" s="2"/>
      <x:c r="F20" s="2"/>
    </x:row>
    <x:row r="21">
      <x:c r="A21" s="2"/>
      <x:c r="B21" s="2"/>
      <x:c r="C21" s="2"/>
      <x:c r="D21" s="2"/>
      <x:c r="E21" s="2"/>
      <x:c r="F21" s="2"/>
    </x:row>
    <x:row r="22">
      <x:c r="A22" s="2"/>
      <x:c r="B22" s="2"/>
      <x:c r="C22" s="2"/>
      <x:c r="D22" s="2"/>
      <x:c r="E22" s="2"/>
      <x:c r="F22" s="2"/>
    </x:row>
    <x:row r="23">
      <x:c r="A23" s="2"/>
      <x:c r="B23" s="2"/>
      <x:c r="C23" s="2"/>
      <x:c r="D23" s="2"/>
      <x:c r="E23" s="2"/>
      <x:c r="F23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40" hidden="0" customWidth="1"/>
    <x:col min="3" max="3" width="95" hidden="0" customWidth="1"/>
    <x:col min="4" max="4" width="12" hidden="0" customWidth="1"/>
    <x:col min="5" max="5" width="12" hidden="0" customWidth="1"/>
    <x:col min="6" max="6" width="12" hidden="0" customWidth="1"/>
    <x:col min="7" max="7" width="18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30" customHeight="1">
      <x:c r="A2" s="3" t="str">
        <x:v>Ampliamenti esclusi dal calendario principale</x:v>
      </x:c>
      <x:c r="B2" s="2"/>
      <x:c r="C2" s="2"/>
      <x:c r="D2" s="2"/>
      <x:c r="E2" s="2"/>
      <x:c r="F2" s="2"/>
      <x:c r="G2" s="2"/>
    </x:row>
    <x:row r="3">
      <x:c r="A3" s="4"/>
      <x:c r="B3" s="4"/>
      <x:c r="C3" s="4"/>
      <x:c r="D3" s="4"/>
      <x:c r="E3" s="4"/>
      <x:c r="F3" s="4"/>
      <x:c r="G3" s="4"/>
    </x:row>
    <x:row r="4">
      <x:c r="A4" s="2"/>
      <x:c r="B4" s="2"/>
      <x:c r="C4" s="2"/>
      <x:c r="D4" s="2"/>
      <x:c r="E4" s="2"/>
      <x:c r="F4" s="2"/>
      <x:c r="G4" s="2"/>
    </x:row>
    <x:row r="5" ht="34" customHeight="1">
      <x:c r="A5" s="9" t="str">
        <x:v>ID</x:v>
      </x:c>
      <x:c r="B5" s="9" t="str">
        <x:v>Opzione</x:v>
      </x:c>
      <x:c r="C5" s="9" t="str">
        <x:v>Perimetro da decidere</x:v>
      </x:c>
      <x:c r="D5" s="9" t="str">
        <x:v>Min gg</x:v>
      </x:c>
      <x:c r="E5" s="9" t="str">
        <x:v>Base gg</x:v>
      </x:c>
      <x:c r="F5" s="9" t="str">
        <x:v>Max gg</x:v>
      </x:c>
      <x:c r="G5" s="9" t="str">
        <x:v>Prerequisito</x:v>
      </x:c>
    </x:row>
    <x:row r="6" ht="70" customHeight="1">
      <x:c r="A6" s="11" t="str">
        <x:v>O01</x:v>
      </x:c>
      <x:c r="B6" s="11" t="str">
        <x:v>Fessurazione non lineare e ciclicità CA</x:v>
      </x:c>
      <x:c r="C6" s="11" t="str">
        <x:v>Rinviata su indicazione precedente dell’utente; definire modello e benchmark prima di attivare.</x:v>
      </x:c>
      <x:c r="D6" s="11" t="n">
        <x:v>10</x:v>
      </x:c>
      <x:c r="E6" s="11" t="n">
        <x:v>16</x:v>
      </x:c>
      <x:c r="F6" s="11" t="n">
        <x:v>25</x:v>
      </x:c>
      <x:c r="G6" s="11" t="str">
        <x:v>M02</x:v>
      </x:c>
    </x:row>
    <x:row r="7" ht="70" customHeight="1">
      <x:c r="A7" s="10" t="str">
        <x:v>O02</x:v>
      </x:c>
      <x:c r="B7" s="10" t="str">
        <x:v>Pali p-y, risposta ciclica e gruppo accoppiato</x:v>
      </x:c>
      <x:c r="C7" s="10" t="str">
        <x:v>Estensione non lineare distinta da Broms e dal palo elastico; richiede parametri e casi sperimentali.</x:v>
      </x:c>
      <x:c r="D7" s="10" t="n">
        <x:v>15</x:v>
      </x:c>
      <x:c r="E7" s="10" t="n">
        <x:v>24</x:v>
      </x:c>
      <x:c r="F7" s="10" t="n">
        <x:v>40</x:v>
      </x:c>
      <x:c r="G7" s="10" t="str">
        <x:v>M03</x:v>
      </x:c>
    </x:row>
    <x:row r="8" ht="70" customHeight="1">
      <x:c r="A8" s="11" t="str">
        <x:v>O03</x:v>
      </x:c>
      <x:c r="B8" s="11" t="str">
        <x:v>Solutore FEM globale generalista</x:v>
      </x:c>
      <x:c r="C8" s="11" t="str">
        <x:v>Telai/piastre/gusci, analisi sismiche e non lineari sono un progetto autonomo. Prima fase consigliata: import da solutori esistenti.</x:v>
      </x:c>
      <x:c r="D8" s="11" t="n">
        <x:v>40</x:v>
      </x:c>
      <x:c r="E8" s="11" t="n">
        <x:v>70</x:v>
      </x:c>
      <x:c r="F8" s="11" t="n">
        <x:v>120</x:v>
      </x:c>
      <x:c r="G8" s="11" t="str">
        <x:v>M06</x:v>
      </x:c>
    </x:row>
    <x:row r="9" ht="70" customHeight="1">
      <x:c r="A9" s="10" t="str">
        <x:v>O04</x:v>
      </x:c>
      <x:c r="B9" s="10" t="str">
        <x:v>BIM esteso e CDE</x:v>
      </x:c>
      <x:c r="C9" s="10" t="str">
        <x:v>Ponti complessi, sincronizzazione multiutente, server BCF/CDE e automazioni avanzate di disegno.</x:v>
      </x:c>
      <x:c r="D9" s="10" t="n">
        <x:v>15</x:v>
      </x:c>
      <x:c r="E9" s="10" t="n">
        <x:v>25</x:v>
      </x:c>
      <x:c r="F9" s="10" t="n">
        <x:v>45</x:v>
      </x:c>
      <x:c r="G9" s="10" t="str">
        <x:v>MB4</x:v>
      </x:c>
    </x:row>
    <x:row r="10" ht="70" customHeight="1">
      <x:c r="A10" s="11" t="str">
        <x:v>O05</x:v>
      </x:c>
      <x:c r="B10" s="11" t="str">
        <x:v>Verifiche specialistiche aggiuntive</x:v>
      </x:c>
      <x:c r="C10" s="11" t="str">
        <x:v>Incendio, strutture esistenti, FRC, rinforzi, fatica estesa e certificazioni richiedono singoli capitolati; stima da formulare dopo scelta.</x:v>
      </x:c>
      <x:c r="D10" s="11" t="str">
        <x:v>Da stimare</x:v>
      </x:c>
      <x:c r="E10" s="11" t="str">
        <x:v>Da stimare</x:v>
      </x:c>
      <x:c r="F10" s="11" t="str">
        <x:v>Da stimare</x:v>
      </x:c>
      <x:c r="G10" s="11" t="str">
        <x:v>Da definire</x:v>
      </x:c>
    </x:row>
    <x:row r="11">
      <x:c r="A11" s="2"/>
      <x:c r="B11" s="2"/>
      <x:c r="C11" s="2"/>
      <x:c r="D11" s="2"/>
      <x:c r="E11" s="2"/>
      <x:c r="F11" s="2"/>
      <x:c r="G11" s="2"/>
    </x:row>
    <x:row r="12">
      <x:c r="A12" s="2" t="str">
        <x:v>Stime preliminari con AI, prima del margine. Non sommate al programma. O05 richiede un capitolato separato.</x:v>
      </x:c>
      <x:c r="B12" s="2"/>
      <x:c r="C12" s="2"/>
      <x:c r="D12" s="2"/>
      <x:c r="E12" s="2"/>
      <x:c r="F12" s="2"/>
      <x:c r="G12" s="2"/>
    </x:row>
    <x:row r="13">
      <x:c r="A13" s="2"/>
      <x:c r="B13" s="2"/>
      <x:c r="C13" s="2"/>
      <x:c r="D13" s="2"/>
      <x:c r="E13" s="2"/>
      <x:c r="F13" s="2"/>
      <x:c r="G13" s="2"/>
    </x:row>
    <x:row r="14">
      <x:c r="A14" s="2"/>
      <x:c r="B14" s="2"/>
      <x:c r="C14" s="2"/>
      <x:c r="D14" s="2"/>
      <x:c r="E14" s="2"/>
      <x:c r="F14" s="2"/>
      <x:c r="G14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25" hidden="0" customWidth="1"/>
    <x:col min="5" max="5" width="35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Tracciabilità della bozza e fonti</x:v>
      </x:c>
      <x:c r="B2" s="2"/>
      <x:c r="C2" s="2"/>
      <x:c r="D2" s="2"/>
      <x:c r="E2" s="2"/>
    </x:row>
    <x:row r="3">
      <x:c r="A3" s="4"/>
      <x:c r="B3" s="4"/>
      <x:c r="C3" s="4"/>
      <x:c r="D3" s="4"/>
      <x:c r="E3" s="4"/>
    </x:row>
    <x:row r="4">
      <x:c r="A4" s="2"/>
      <x:c r="B4" s="2"/>
      <x:c r="C4" s="2"/>
      <x:c r="D4" s="2"/>
      <x:c r="E4" s="2"/>
    </x:row>
    <x:row r="5" ht="34" customHeight="1">
      <x:c r="A5" s="9" t="str">
        <x:v>Foglio originale</x:v>
      </x:c>
      <x:c r="B5" s="9" t="str">
        <x:v>Riga</x:v>
      </x:c>
      <x:c r="C5" s="9" t="str">
        <x:v>Voce originale</x:v>
      </x:c>
      <x:c r="D5" s="9" t="str">
        <x:v>Stato ricognito</x:v>
      </x:c>
      <x:c r="E5" s="9" t="str">
        <x:v>Copertura / attività</x:v>
      </x:c>
    </x:row>
    <x:row r="6" ht="46" customHeight="1">
      <x:c r="A6" s="11" t="str">
        <x:v>Azioni</x:v>
      </x:c>
      <x:c r="B6" s="11" t="n">
        <x:v>3</x:v>
      </x:c>
      <x:c r="C6" s="11" t="str">
        <x:v>Vento</x:v>
      </x:c>
      <x:c r="D6" s="11" t="str">
        <x:v>Non completo</x:v>
      </x:c>
      <x:c r="E6" s="11" t="str">
        <x:v>T18</x:v>
      </x:c>
    </x:row>
    <x:row r="7" ht="46" customHeight="1">
      <x:c r="A7" s="10" t="str">
        <x:v>Azioni</x:v>
      </x:c>
      <x:c r="B7" s="10" t="n">
        <x:v>4</x:v>
      </x:c>
      <x:c r="C7" s="10" t="str">
        <x:v>Temperatura</x:v>
      </x:c>
      <x:c r="D7" s="10" t="str">
        <x:v>Non completo</x:v>
      </x:c>
      <x:c r="E7" s="10" t="str">
        <x:v>T19</x:v>
      </x:c>
    </x:row>
    <x:row r="8" ht="46" customHeight="1">
      <x:c r="A8" s="11" t="str">
        <x:v>Azioni</x:v>
      </x:c>
      <x:c r="B8" s="11" t="n">
        <x:v>5</x:v>
      </x:c>
      <x:c r="C8" s="11" t="str">
        <x:v>Neve</x:v>
      </x:c>
      <x:c r="D8" s="11" t="str">
        <x:v>Non completo</x:v>
      </x:c>
      <x:c r="E8" s="11" t="str">
        <x:v>T19</x:v>
      </x:c>
    </x:row>
    <x:row r="9" ht="46" customHeight="1">
      <x:c r="A9" s="10" t="str">
        <x:v>Azioni</x:v>
      </x:c>
      <x:c r="B9" s="10" t="n">
        <x:v>6</x:v>
      </x:c>
      <x:c r="C9" s="10" t="str">
        <x:v>Traffico</x:v>
      </x:c>
      <x:c r="D9" s="10" t="str">
        <x:v>Parziale</x:v>
      </x:c>
      <x:c r="E9" s="10" t="str">
        <x:v>T20</x:v>
      </x:c>
    </x:row>
    <x:row r="10" ht="46" customHeight="1">
      <x:c r="A10" s="11" t="str">
        <x:v>Acciaio</x:v>
      </x:c>
      <x:c r="B10" s="11" t="n">
        <x:v>2</x:v>
      </x:c>
      <x:c r="C10" s="11" t="str">
        <x:v>Porprietà materiale (per tabella materiali)</x:v>
      </x:c>
      <x:c r="D10" s="11" t="str">
        <x:v>Parziale</x:v>
      </x:c>
      <x:c r="E10" s="11" t="str">
        <x:v>T21</x:v>
      </x:c>
    </x:row>
    <x:row r="11" ht="46" customHeight="1">
      <x:c r="A11" s="10" t="str">
        <x:v>Acciaio</x:v>
      </x:c>
      <x:c r="B11" s="10" t="n">
        <x:v>3</x:v>
      </x:c>
      <x:c r="C11" s="10" t="str">
        <x:v>Propietà sezioni con classe 4</x:v>
      </x:c>
      <x:c r="D11" s="10" t="str">
        <x:v>Parziale</x:v>
      </x:c>
      <x:c r="E11" s="10" t="str">
        <x:v>T21</x:v>
      </x:c>
    </x:row>
    <x:row r="12" ht="46" customHeight="1">
      <x:c r="A12" s="11" t="str">
        <x:v>Acciaio</x:v>
      </x:c>
      <x:c r="B12" s="11" t="n">
        <x:v>4</x:v>
      </x:c>
      <x:c r="C12" s="11" t="str">
        <x:v>Verifica sezioni con classe 4</x:v>
      </x:c>
      <x:c r="D12" s="11" t="str">
        <x:v>Parziale</x:v>
      </x:c>
      <x:c r="E12" s="11" t="str">
        <x:v>T22</x:v>
      </x:c>
    </x:row>
    <x:row r="13" ht="46" customHeight="1">
      <x:c r="A13" s="10" t="str">
        <x:v>Acciaio</x:v>
      </x:c>
      <x:c r="B13" s="10" t="n">
        <x:v>5</x:v>
      </x:c>
      <x:c r="C13" s="10" t="str">
        <x:v>Flessione</x:v>
      </x:c>
      <x:c r="D13" s="10" t="str">
        <x:v>Parziale</x:v>
      </x:c>
      <x:c r="E13" s="10" t="str">
        <x:v>T22</x:v>
      </x:c>
    </x:row>
    <x:row r="14" ht="46" customHeight="1">
      <x:c r="A14" s="11" t="str">
        <x:v>Acciaio</x:v>
      </x:c>
      <x:c r="B14" s="11" t="n">
        <x:v>6</x:v>
      </x:c>
      <x:c r="C14" s="11" t="str">
        <x:v>Taglio</x:v>
      </x:c>
      <x:c r="D14" s="11" t="str">
        <x:v>Parziale</x:v>
      </x:c>
      <x:c r="E14" s="11" t="str">
        <x:v>T22</x:v>
      </x:c>
    </x:row>
    <x:row r="15" ht="46" customHeight="1">
      <x:c r="A15" s="10" t="str">
        <x:v>Acciaio</x:v>
      </x:c>
      <x:c r="B15" s="10" t="n">
        <x:v>7</x:v>
      </x:c>
      <x:c r="C15" s="10" t="str">
        <x:v>Connessioni</x:v>
      </x:c>
      <x:c r="D15" s="10" t="str">
        <x:v>Non riscontrato</x:v>
      </x:c>
      <x:c r="E15" s="10" t="str">
        <x:v>T24</x:v>
      </x:c>
    </x:row>
    <x:row r="16" ht="46" customHeight="1">
      <x:c r="A16" s="11" t="str">
        <x:v>Acciaio</x:v>
      </x:c>
      <x:c r="B16" s="11" t="n">
        <x:v>8</x:v>
      </x:c>
      <x:c r="C16" s="11" t="str">
        <x:v>Coprigiunti</x:v>
      </x:c>
      <x:c r="D16" s="11" t="str">
        <x:v>Non riscontrato</x:v>
      </x:c>
      <x:c r="E16" s="11" t="str">
        <x:v>T24</x:v>
      </x:c>
    </x:row>
    <x:row r="17" ht="46" customHeight="1">
      <x:c r="A17" s="10" t="str">
        <x:v>Acciaio</x:v>
      </x:c>
      <x:c r="B17" s="10" t="n">
        <x:v>10</x:v>
      </x:c>
      <x:c r="C17" s="10" t="str">
        <x:v>Stabilità pannello d'anima</x:v>
      </x:c>
      <x:c r="D17" s="10" t="str">
        <x:v>Parziale</x:v>
      </x:c>
      <x:c r="E17" s="10" t="str">
        <x:v>T23</x:v>
      </x:c>
    </x:row>
    <x:row r="18" ht="46" customHeight="1">
      <x:c r="A18" s="11" t="str">
        <x:v>Calcestruzzo</x:v>
      </x:c>
      <x:c r="B18" s="11" t="n">
        <x:v>3</x:v>
      </x:c>
      <x:c r="C18" s="11" t="str">
        <x:v>Proprietà materiali (per tabella materiali)</x:v>
      </x:c>
      <x:c r="D18" s="11" t="str">
        <x:v>Presente</x:v>
      </x:c>
      <x:c r="E18" s="11" t="str">
        <x:v>S02</x:v>
      </x:c>
    </x:row>
    <x:row r="19" ht="46" customHeight="1">
      <x:c r="A19" s="10" t="str">
        <x:v>Calcestruzzo</x:v>
      </x:c>
      <x:c r="B19" s="10" t="n">
        <x:v>4</x:v>
      </x:c>
      <x:c r="C19" s="10" t="str">
        <x:v>Minimi armatura</x:v>
      </x:c>
      <x:c r="D19" s="10" t="str">
        <x:v>Presente</x:v>
      </x:c>
      <x:c r="E19" s="10" t="str">
        <x:v>S08; T09</x:v>
      </x:c>
    </x:row>
    <x:row r="20" ht="46" customHeight="1">
      <x:c r="A20" s="11" t="str">
        <x:v>Calcestruzzo</x:v>
      </x:c>
      <x:c r="B20" s="11" t="n">
        <x:v>5</x:v>
      </x:c>
      <x:c r="C20" s="11" t="str">
        <x:v>Flessione SLU - SLV - SLE</x:v>
      </x:c>
      <x:c r="D20" s="11" t="str">
        <x:v>Presente</x:v>
      </x:c>
      <x:c r="E20" s="11" t="str">
        <x:v>S05; S06</x:v>
      </x:c>
    </x:row>
    <x:row r="21" ht="46" customHeight="1">
      <x:c r="A21" s="10" t="str">
        <x:v>Calcestruzzo</x:v>
      </x:c>
      <x:c r="B21" s="10" t="n">
        <x:v>6</x:v>
      </x:c>
      <x:c r="C21" s="10" t="str">
        <x:v>Taglio</x:v>
      </x:c>
      <x:c r="D21" s="10" t="str">
        <x:v>Presente con limiti</x:v>
      </x:c>
      <x:c r="E21" s="10" t="str">
        <x:v>S07</x:v>
      </x:c>
    </x:row>
    <x:row r="22" ht="46" customHeight="1">
      <x:c r="A22" s="11" t="str">
        <x:v>Calcestruzzo</x:v>
      </x:c>
      <x:c r="B22" s="11" t="n">
        <x:v>7</x:v>
      </x:c>
      <x:c r="C22" s="11" t="str">
        <x:v>Punzonamento</x:v>
      </x:c>
      <x:c r="D22" s="11" t="str">
        <x:v>Non riscontrato</x:v>
      </x:c>
      <x:c r="E22" s="11" t="str">
        <x:v>T10</x:v>
      </x:c>
    </x:row>
    <x:row r="23" ht="46" customHeight="1">
      <x:c r="A23" s="10" t="str">
        <x:v>Calcestruzzo</x:v>
      </x:c>
      <x:c r="B23" s="10" t="n">
        <x:v>8</x:v>
      </x:c>
      <x:c r="C23" s="10" t="str">
        <x:v>Verifica inghisaggi</x:v>
      </x:c>
      <x:c r="D23" s="10" t="str">
        <x:v>Non riscontrato</x:v>
      </x:c>
      <x:c r="E23" s="10" t="str">
        <x:v>T11</x:v>
      </x:c>
    </x:row>
    <x:row r="24" ht="46" customHeight="1">
      <x:c r="A24" s="11" t="str">
        <x:v>CAP</x:v>
      </x:c>
      <x:c r="B24" s="11" t="n">
        <x:v>1</x:v>
      </x:c>
      <x:c r="C24" s="11" t="str">
        <x:v>Foglio vuoto nella bozza</x:v>
      </x:c>
      <x:c r="D24" s="11" t="str">
        <x:v>Da definire</x:v>
      </x:c>
      <x:c r="E24" s="11" t="str">
        <x:v>T30–T33</x:v>
      </x:c>
    </x:row>
    <x:row r="25" ht="46" customHeight="1">
      <x:c r="A25" s="10" t="str">
        <x:v>Misto</x:v>
      </x:c>
      <x:c r="B25" s="10" t="n">
        <x:v>3</x:v>
      </x:c>
      <x:c r="C25" s="10" t="str">
        <x:v>Verifica sezione in classe 4</x:v>
      </x:c>
      <x:c r="D25" s="10" t="str">
        <x:v>Presente con limiti</x:v>
      </x:c>
      <x:c r="E25" s="10" t="str">
        <x:v>S16; T25</x:v>
      </x:c>
    </x:row>
    <x:row r="26" ht="46" customHeight="1">
      <x:c r="A26" s="11" t="str">
        <x:v>Misto</x:v>
      </x:c>
      <x:c r="B26" s="11" t="n">
        <x:v>4</x:v>
      </x:c>
      <x:c r="C26" s="11" t="str">
        <x:v>Verifica travata in classe 4</x:v>
      </x:c>
      <x:c r="D26" s="11" t="str">
        <x:v>Parziale</x:v>
      </x:c>
      <x:c r="E26" s="11" t="str">
        <x:v>T26</x:v>
      </x:c>
    </x:row>
    <x:row r="27" ht="46" customHeight="1">
      <x:c r="A27" s="10" t="str">
        <x:v>Misto</x:v>
      </x:c>
      <x:c r="B27" s="10" t="n">
        <x:v>5</x:v>
      </x:c>
      <x:c r="C27" s="10" t="str">
        <x:v>Calcolo predalles</x:v>
      </x:c>
      <x:c r="D27" s="10" t="str">
        <x:v>Parziale</x:v>
      </x:c>
      <x:c r="E27" s="10" t="str">
        <x:v>S17; T27</x:v>
      </x:c>
    </x:row>
    <x:row r="28" ht="46" customHeight="1">
      <x:c r="A28" s="11" t="str">
        <x:v>Geotecnica</x:v>
      </x:c>
      <x:c r="B28" s="11" t="n">
        <x:v>3</x:v>
      </x:c>
      <x:c r="C28" s="11" t="str">
        <x:v>Capacità portante verticale palo</x:v>
      </x:c>
      <x:c r="D28" s="11" t="str">
        <x:v>Presente</x:v>
      </x:c>
      <x:c r="E28" s="11" t="str">
        <x:v>S11</x:v>
      </x:c>
    </x:row>
    <x:row r="29" ht="46" customHeight="1">
      <x:c r="A29" s="10" t="str">
        <x:v>Geotecnica</x:v>
      </x:c>
      <x:c r="B29" s="10" t="n">
        <x:v>4</x:v>
      </x:c>
      <x:c r="C29" s="10" t="str">
        <x:v>Capacità portante orizzontale palo</x:v>
      </x:c>
      <x:c r="D29" s="10" t="str">
        <x:v>Presente</x:v>
      </x:c>
      <x:c r="E29" s="10" t="str">
        <x:v>S12; S13</x:v>
      </x:c>
    </x:row>
    <x:row r="30" ht="46" customHeight="1">
      <x:c r="A30" s="11" t="str">
        <x:v>Geotecnica</x:v>
      </x:c>
      <x:c r="B30" s="11" t="n">
        <x:v>5</x:v>
      </x:c>
      <x:c r="C30" s="11" t="str">
        <x:v>Capacità portante verticale micropalo</x:v>
      </x:c>
      <x:c r="D30" s="11" t="str">
        <x:v>Presente</x:v>
      </x:c>
      <x:c r="E30" s="11" t="str">
        <x:v>S11</x:v>
      </x:c>
    </x:row>
    <x:row r="31" ht="46" customHeight="1">
      <x:c r="A31" s="10" t="str">
        <x:v>Geotecnica</x:v>
      </x:c>
      <x:c r="B31" s="10" t="n">
        <x:v>6</x:v>
      </x:c>
      <x:c r="C31" s="10" t="str">
        <x:v>Capacitàportante orizzontale micropalo</x:v>
      </x:c>
      <x:c r="D31" s="10" t="str">
        <x:v>Presente</x:v>
      </x:c>
      <x:c r="E31" s="10" t="str">
        <x:v>S12</x:v>
      </x:c>
    </x:row>
    <x:row r="32" ht="46" customHeight="1">
      <x:c r="A32" s="11" t="str">
        <x:v>Geotecnica</x:v>
      </x:c>
      <x:c r="B32" s="11" t="n">
        <x:v>7</x:v>
      </x:c>
      <x:c r="C32" s="11" t="str">
        <x:v>Calcolo molle orizzontali e verticali</x:v>
      </x:c>
      <x:c r="D32" s="11" t="str">
        <x:v>Parziale</x:v>
      </x:c>
      <x:c r="E32" s="11" t="str">
        <x:v>T14; T15</x:v>
      </x:c>
    </x:row>
    <x:row r="33" ht="46" customHeight="1">
      <x:c r="A33" s="10" t="str">
        <x:v>Geotecnica</x:v>
      </x:c>
      <x:c r="B33" s="10" t="n">
        <x:v>8</x:v>
      </x:c>
      <x:c r="C33" s="10" t="str">
        <x:v>Cedimenti pali</x:v>
      </x:c>
      <x:c r="D33" s="10" t="str">
        <x:v>Non riscontrato</x:v>
      </x:c>
      <x:c r="E33" s="10" t="str">
        <x:v>T15</x:v>
      </x:c>
    </x:row>
    <x:row r="34" ht="46" customHeight="1">
      <x:c r="A34" s="11" t="str">
        <x:v>Geotecnica</x:v>
      </x:c>
      <x:c r="B34" s="11" t="n">
        <x:v>9</x:v>
      </x:c>
      <x:c r="C34" s="11" t="str">
        <x:v>Spinta delle terre</x:v>
      </x:c>
      <x:c r="D34" s="11" t="str">
        <x:v>Presente</x:v>
      </x:c>
      <x:c r="E34" s="11" t="str">
        <x:v>S15</x:v>
      </x:c>
    </x:row>
    <x:row r="35" ht="46" customHeight="1">
      <x:c r="A35" s="10" t="str">
        <x:v>Geotecnica</x:v>
      </x:c>
      <x:c r="B35" s="10" t="n">
        <x:v>10</x:v>
      </x:c>
      <x:c r="C35" s="10" t="str">
        <x:v>Capacità portante fondazione superficiale</x:v>
      </x:c>
      <x:c r="D35" s="10" t="str">
        <x:v>Parziale</x:v>
      </x:c>
      <x:c r="E35" s="10" t="str">
        <x:v>T13</x:v>
      </x:c>
    </x:row>
    <x:row r="36" ht="46" customHeight="1">
      <x:c r="A36" s="11" t="str">
        <x:v>Geotecnica</x:v>
      </x:c>
      <x:c r="B36" s="11" t="n">
        <x:v>11</x:v>
      </x:c>
      <x:c r="C36" s="11" t="str">
        <x:v>Cedimento fondazioni superficiali</x:v>
      </x:c>
      <x:c r="D36" s="11" t="str">
        <x:v>Parziale</x:v>
      </x:c>
      <x:c r="E36" s="11" t="str">
        <x:v>T14</x:v>
      </x:c>
    </x:row>
    <x:row r="37" ht="46" customHeight="1">
      <x:c r="A37" s="10" t="str">
        <x:v>Sezione progetto</x:v>
      </x:c>
      <x:c r="B37" s="10" t="n">
        <x:v>3</x:v>
      </x:c>
      <x:c r="C37" s="10" t="str">
        <x:v>Lasciare libera la struttura con quanti sottogruppi si vuole</x:v>
      </x:c>
      <x:c r="D37" s="10" t="str">
        <x:v>Presente</x:v>
      </x:c>
      <x:c r="E37" s="10" t="str">
        <x:v>S01</x:v>
      </x:c>
    </x:row>
    <x:row r="38" ht="46" customHeight="1">
      <x:c r="A38" s="11" t="str">
        <x:v>Sezione progetto</x:v>
      </x:c>
      <x:c r="B38" s="11" t="n">
        <x:v>4</x:v>
      </x:c>
      <x:c r="C38" s="11" t="str">
        <x:v>Creare la scheda dati condivisi per il sottogruppo e far si che vengano pescati i dati</x:v>
      </x:c>
      <x:c r="D38" s="11" t="str">
        <x:v>Presente</x:v>
      </x:c>
      <x:c r="E38" s="11" t="str">
        <x:v>S01; T05</x:v>
      </x:c>
    </x:row>
    <x:row r="39">
      <x:c r="A39" s="2"/>
      <x:c r="B39" s="2"/>
      <x:c r="C39" s="2"/>
      <x:c r="D39" s="2"/>
      <x:c r="E39" s="2"/>
    </x:row>
    <x:row r="40">
      <x:c r="A40" s="2"/>
      <x:c r="B40" s="2"/>
      <x:c r="C40" s="2"/>
      <x:c r="D40" s="2"/>
      <x:c r="E40" s="2"/>
    </x:row>
    <x:row r="41" ht="34" customHeight="1">
      <x:c r="A41" s="9" t="str">
        <x:v>ID</x:v>
      </x:c>
      <x:c r="B41" s="9" t="str">
        <x:v>Tipo</x:v>
      </x:c>
      <x:c r="C41" s="9" t="str">
        <x:v>Documento / contenuto</x:v>
      </x:c>
      <x:c r="D41" s="9" t="str">
        <x:v>Nota</x:v>
      </x:c>
      <x:c r="E41" s="9" t="str">
        <x:v>Riferimento</x:v>
      </x:c>
    </x:row>
    <x:row r="42" ht="112" customHeight="1">
      <x:c r="A42" s="11" t="str">
        <x:v>F01</x:v>
      </x:c>
      <x:c r="B42" s="11" t="str">
        <x:v>Bozza utente</x:v>
      </x:c>
      <x:c r="C42" s="11" t="str">
        <x:v>00-Programma.xlsx</x:v>
      </x:c>
      <x:c r="D42" s="11" t="str">
        <x:v>Sette fogli; CAP vuoto; le voci sono richieste di prodotto, non istruzioni operative.</x:v>
      </x:c>
      <x:c r="E42" s="11" t="str">
        <x:v>X:/ITEC-MODELLI/99-AI/00-Programma/00-Programma.xlsx</x:v>
      </x:c>
    </x:row>
    <x:row r="43" ht="112" customHeight="1">
      <x:c r="A43" s="10" t="str">
        <x:v>F02</x:v>
      </x:c>
      <x:c r="B43" s="10" t="str">
        <x:v>Stato applicazione</x:v>
      </x:c>
      <x:c r="C43" s="10" t="str">
        <x:v>Catalogo moduli</x:v>
      </x:c>
      <x:c r="D43" s="10" t="str">
        <x:v>Ricognizione dei moduli registrati al 06/10/2026; presenza distinta dalla validazione.</x:v>
      </x:c>
      <x:c r="E43" s="10" t="str">
        <x:v>X.Calculations/ModuleCatalog.cs</x:v>
      </x:c>
    </x:row>
    <x:row r="44" ht="112" customHeight="1">
      <x:c r="A44" s="11" t="str">
        <x:v>F03</x:v>
      </x:c>
      <x:c r="B44" s="11" t="str">
        <x:v>Uso e limiti</x:v>
      </x:c>
      <x:c r="C44" s="11" t="str">
        <x:v>Guide globali Rev30</x:v>
      </x:c>
      <x:c r="D44" s="11" t="str">
        <x:v>Guida pratica e teorica, in particolare CLS, ponti, geotecnica e progetti.</x:v>
      </x:c>
      <x:c r="E44" s="11" t="str">
        <x:v>supporto/docs/guida-pratica-anthea.md; supporto/docs/guida-teorica-anthea.md</x:v>
      </x:c>
    </x:row>
    <x:row r="45" ht="112" customHeight="1">
      <x:c r="A45" s="10" t="str">
        <x:v>F04</x:v>
      </x:c>
      <x:c r="B45" s="10" t="str">
        <x:v>Qualità</x:v>
      </x:c>
      <x:c r="C45" s="10" t="str">
        <x:v>Suite e documentazione esistenti</x:v>
      </x:c>
      <x:c r="D45" s="10" t="str">
        <x:v>Test presenti e report di attività, non rieseguiti integralmente per questo programma.</x:v>
      </x:c>
      <x:c r="E45" s="10" t="str">
        <x:v>supporto/test; supporto/README.md</x:v>
      </x:c>
    </x:row>
    <x:row r="46" ht="112" customHeight="1">
      <x:c r="A46" s="11" t="str">
        <x:v>F05</x:v>
      </x:c>
      <x:c r="B46" s="11" t="str">
        <x:v>Predalle</x:v>
      </x:c>
      <x:c r="C46" s="11" t="str">
        <x:v>Campo attuale</x:v>
      </x:c>
      <x:c r="D46" s="11" t="str">
        <x:v>Riferimento geometrico, non elemento verificato autonomamente.</x:v>
      </x:c>
      <x:c r="E46" s="11" t="str">
        <x:v>X.Calculations/BridgeSection.SlabLayout.cs</x:v>
      </x:c>
    </x:row>
    <x:row r="47" ht="112" customHeight="1">
      <x:c r="A47" s="10" t="str">
        <x:v>F06</x:v>
      </x:c>
      <x:c r="B47" s="10" t="str">
        <x:v>CAP</x:v>
      </x:c>
      <x:c r="C47" s="10" t="str">
        <x:v>Esclusioni esplicite</x:v>
      </x:c>
      <x:c r="D47" s="10" t="str">
        <x:v>Taglio CAP e apertura fessure CAP non completati nei percorsi consultati.</x:v>
      </x:c>
      <x:c r="E47" s="10" t="str">
        <x:v>X.Calculations/ConcreteShearAnalysis.cs; X.Calculations/Ntc2018Checks.cs</x:v>
      </x:c>
    </x:row>
    <x:row r="48" ht="112" customHeight="1">
      <x:c r="A48" s="11" t="str">
        <x:v>F07</x:v>
      </x:c>
      <x:c r="B48" s="11" t="str">
        <x:v>BIM</x:v>
      </x:c>
      <x:c r="C48" s="11" t="str">
        <x:v>IFC 4.3.2.0</x:v>
      </x:c>
      <x:c r="D48" s="11" t="str">
        <x:v>Schema ufficiale consultato il 06/10/2026; proposta di profilo da collaudare nei software.</x:v>
      </x:c>
      <x:c r="E48" s="11" t="str">
        <x:v>https://standards.buildingsmart.org/IFC/RELEASE/IFC4_3/</x:v>
      </x:c>
    </x:row>
    <x:row r="49" ht="112" customHeight="1">
      <x:c r="A49" s="10" t="str">
        <x:v>F08</x:v>
      </x:c>
      <x:c r="B49" s="10" t="str">
        <x:v>BIM</x:v>
      </x:c>
      <x:c r="C49" s="10" t="str">
        <x:v>IDS</x:v>
      </x:c>
      <x:c r="D49" s="10" t="str">
        <x:v>Requisiti informativi leggibili da software; consultato il 06/10/2026.</x:v>
      </x:c>
      <x:c r="E49" s="10" t="str">
        <x:v>https://technical.buildingsmart.org/projects/information-delivery-specification-ids/</x:v>
      </x:c>
    </x:row>
    <x:row r="50" ht="112" customHeight="1">
      <x:c r="A50" s="11" t="str">
        <x:v>F09</x:v>
      </x:c>
      <x:c r="B50" s="11" t="str">
        <x:v>BIM</x:v>
      </x:c>
      <x:c r="C50" s="11" t="str">
        <x:v>BCF</x:v>
      </x:c>
      <x:c r="D50" s="11" t="str">
        <x:v>Scambio di problemi associati al modello; consultato il 06/10/2026.</x:v>
      </x:c>
      <x:c r="E50" s="11" t="str">
        <x:v>https://technical.buildingsmart.org/standards/bcf/</x:v>
      </x:c>
    </x:row>
    <x:row r="51" ht="112" customHeight="1">
      <x:c r="A51" s="10" t="str">
        <x:v>F10</x:v>
      </x:c>
      <x:c r="B51" s="10" t="str">
        <x:v>BIM</x:v>
      </x:c>
      <x:c r="C51" s="10" t="str">
        <x:v>Revit API: analytical model</x:v>
      </x:c>
      <x:c r="D51" s="10" t="str">
        <x:v>Associazione fra elementi fisici e analitici; consultato il 06/10/2026.</x:v>
      </x:c>
      <x:c r="E51" s="10" t="str">
        <x:v>https://help.autodesk.com/cloudhelp/2026/ENU/Revit-API-MainReference/files/html/d586b341-f687-9d90-e96d-255806b7d4fc.htm</x:v>
      </x:c>
    </x:row>
    <x:row r="52" ht="112" customHeight="1">
      <x:c r="A52" s="11" t="str">
        <x:v>F11</x:v>
      </x:c>
      <x:c r="B52" s="11" t="str">
        <x:v>BIM</x:v>
      </x:c>
      <x:c r="C52" s="11" t="str">
        <x:v>Tekla Open API</x:v>
      </x:c>
      <x:c r="D52" s="11" t="str">
        <x:v>Accesso ai modelli/disegni e integrazione con altri strumenti; consultato il 06/10/2026.</x:v>
      </x:c>
      <x:c r="E52" s="11" t="str">
        <x:v>https://developer.tekla.com/documentation/where-use-tekla-structures-open-api</x:v>
      </x:c>
    </x:row>
    <x:row r="53" ht="112" customHeight="1">
      <x:c r="A53" s="10" t="str">
        <x:v>F12</x:v>
      </x:c>
      <x:c r="B53" s="10" t="str">
        <x:v>BIM</x:v>
      </x:c>
      <x:c r="C53" s="10" t="str">
        <x:v>Licenze Tekla Open API</x:v>
      </x:c>
      <x:c r="D53" s="10" t="str">
        <x:v>Prerequisiti ufficiali di sviluppo; consultato il 06/10/2026.</x:v>
      </x:c>
      <x:c r="E53" s="10" t="str">
        <x:v>https://developer.tekla.com/documentation/get-started-tekla-structures-open-api</x:v>
      </x:c>
    </x:row>
    <x:row r="54" ht="112" customHeight="1">
      <x:c r="A54" s="11" t="str">
        <x:v>F13</x:v>
      </x:c>
      <x:c r="B54" s="11" t="str">
        <x:v>Stime</x:v>
      </x:c>
      <x:c r="C54" s="11" t="str">
        <x:v>Stime proposte con AI</x:v>
      </x:c>
      <x:c r="D54" s="11" t="str">
        <x:v>Giudizio di pianificazione al 06/10/2026, non velocità storica misurata né impegno contrattuale. Da calibrare a M00.</x:v>
      </x:c>
      <x:c r="E54" s="11" t="str">
        <x:v>Elaborazione del programma</x:v>
      </x:c>
    </x:row>
    <x:row r="55">
      <x:c r="A55" s="2"/>
      <x:c r="B55" s="2"/>
      <x:c r="C55" s="2"/>
      <x:c r="D55" s="2"/>
      <x:c r="E55" s="2"/>
    </x:row>
    <x:row r="56">
      <x:c r="A56" s="2"/>
      <x:c r="B56" s="2"/>
      <x:c r="C56" s="2"/>
      <x:c r="D56" s="2"/>
      <x:c r="E56" s="2"/>
    </x:row>
    <x:row r="57">
      <x:c r="A57" s="2"/>
      <x:c r="B57" s="2"/>
      <x:c r="C57" s="2"/>
      <x:c r="D57" s="2"/>
      <x:c r="E57" s="2"/>
    </x:row>
    <x:row r="58">
      <x:c r="A58" s="2"/>
      <x:c r="B58" s="2"/>
      <x:c r="C58" s="2"/>
      <x:c r="D58" s="2"/>
      <x:c r="E58" s="2"/>
    </x:row>
  </x:sheetData>
  <x:pageMargins left="0.7" right="0.7" top="0.75" bottom="0.75" header="0.3" footer="0.3"/>
  <x:tableParts count="1">
    <x:tablePart xmlns:r="http://schemas.openxmlformats.org/officeDocument/2006/relationships" r:id="R6f13ed9380bc440e"/>
  </x:tableParts>
</x:worksheet>
</file>